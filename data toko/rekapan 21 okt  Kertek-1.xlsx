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6001022364df66/Documents/"/>
    </mc:Choice>
  </mc:AlternateContent>
  <xr:revisionPtr revIDLastSave="0" documentId="8_{225539AD-32F8-A14C-A972-A9636FB28A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embar1" sheetId="1" r:id="rId1"/>
    <sheet name="Lembar4" sheetId="4" r:id="rId2"/>
    <sheet name="Lembar3" sheetId="3" r:id="rId3"/>
    <sheet name="Lembar2" sheetId="2" r:id="rId4"/>
  </sheets>
  <definedNames>
    <definedName name="_xlnm._FilterDatabase" localSheetId="0" hidden="1">Lembar1!$A$54:$F$87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97" i="1" l="1"/>
  <c r="F491" i="1"/>
  <c r="F487" i="1"/>
  <c r="F485" i="1"/>
  <c r="F477" i="1"/>
  <c r="F475" i="1"/>
  <c r="F469" i="1"/>
  <c r="F471" i="1"/>
  <c r="F489" i="1"/>
  <c r="F482" i="1"/>
  <c r="F495" i="1"/>
  <c r="F501" i="1"/>
  <c r="F470" i="1"/>
  <c r="F504" i="1"/>
  <c r="F506" i="1"/>
  <c r="F632" i="1"/>
  <c r="F607" i="1"/>
  <c r="F637" i="1"/>
  <c r="F609" i="1"/>
  <c r="F625" i="1"/>
  <c r="F621" i="1"/>
  <c r="F618" i="1"/>
  <c r="F611" i="1"/>
  <c r="F615" i="1"/>
  <c r="F623" i="1"/>
  <c r="F629" i="1"/>
  <c r="F619" i="1"/>
  <c r="F610" i="1"/>
  <c r="F616" i="1"/>
  <c r="F614" i="1"/>
  <c r="F608" i="1"/>
  <c r="F642" i="1"/>
  <c r="F644" i="1"/>
  <c r="F472" i="1"/>
  <c r="F473" i="1"/>
  <c r="F474" i="1"/>
  <c r="F508" i="1"/>
  <c r="F401" i="1"/>
  <c r="F481" i="1"/>
  <c r="F488" i="1"/>
  <c r="H2" i="1"/>
  <c r="F384" i="1"/>
  <c r="F377" i="1"/>
  <c r="F382" i="1"/>
  <c r="F383" i="1"/>
  <c r="F385" i="1"/>
  <c r="F390" i="1"/>
  <c r="F397" i="1"/>
  <c r="F407" i="1"/>
  <c r="F393" i="1"/>
  <c r="F379" i="1"/>
  <c r="F391" i="1"/>
  <c r="F398" i="1"/>
  <c r="F387" i="1"/>
  <c r="F389" i="1"/>
  <c r="F386" i="1"/>
  <c r="F378" i="1"/>
  <c r="F381" i="1"/>
  <c r="F394" i="1"/>
  <c r="F380" i="1"/>
  <c r="F399" i="1"/>
  <c r="F392" i="1"/>
  <c r="F412" i="1"/>
  <c r="F655" i="1"/>
  <c r="F675" i="1"/>
  <c r="F654" i="1"/>
  <c r="F674" i="1"/>
  <c r="F661" i="1"/>
  <c r="F660" i="1"/>
  <c r="F653" i="1"/>
  <c r="F659" i="1"/>
  <c r="F657" i="1"/>
  <c r="F658" i="1"/>
  <c r="F662" i="1"/>
  <c r="F656" i="1"/>
  <c r="F688" i="1"/>
  <c r="F690" i="1"/>
  <c r="F545" i="1"/>
  <c r="F622" i="1"/>
  <c r="F617" i="1"/>
  <c r="F613" i="1"/>
  <c r="F499" i="1"/>
  <c r="F486" i="1"/>
  <c r="F484" i="1"/>
  <c r="F476" i="1"/>
  <c r="F494" i="1"/>
  <c r="F1166" i="1"/>
  <c r="F1173" i="1"/>
  <c r="F1181" i="1"/>
  <c r="F1187" i="1"/>
  <c r="F1190" i="1"/>
  <c r="F1177" i="1"/>
  <c r="F1174" i="1"/>
  <c r="F1194" i="1"/>
  <c r="F1196" i="1"/>
  <c r="F502" i="1"/>
  <c r="F636" i="1"/>
  <c r="F612" i="1"/>
  <c r="F631" i="1"/>
  <c r="F628" i="1"/>
  <c r="F630" i="1"/>
  <c r="F620" i="1"/>
  <c r="F627" i="1"/>
  <c r="C1062" i="1"/>
  <c r="F1163" i="1"/>
  <c r="F1198" i="1"/>
  <c r="P7" i="1"/>
  <c r="Q7" i="1"/>
  <c r="R7" i="1"/>
  <c r="K7" i="1"/>
  <c r="F624" i="1"/>
  <c r="F1186" i="1"/>
  <c r="F1180" i="1"/>
  <c r="F12" i="1"/>
  <c r="F22" i="1"/>
  <c r="F23" i="1"/>
  <c r="F27" i="1"/>
  <c r="F29" i="1"/>
  <c r="F30" i="1"/>
  <c r="F31" i="1"/>
  <c r="F35" i="1"/>
  <c r="F11" i="1"/>
  <c r="F9" i="1"/>
  <c r="F17" i="1"/>
  <c r="F25" i="1"/>
  <c r="F10" i="1"/>
  <c r="F33" i="1"/>
  <c r="F21" i="1"/>
  <c r="F24" i="1"/>
  <c r="F32" i="1"/>
  <c r="F26" i="1"/>
  <c r="F13" i="1"/>
  <c r="F34" i="1"/>
  <c r="F42" i="1"/>
  <c r="F44" i="1"/>
  <c r="F46" i="1"/>
  <c r="F48" i="1"/>
  <c r="F147" i="1"/>
  <c r="F155" i="1"/>
  <c r="F149" i="1"/>
  <c r="F154" i="1"/>
  <c r="F148" i="1"/>
  <c r="F150" i="1"/>
  <c r="F182" i="1"/>
  <c r="F184" i="1"/>
  <c r="F490" i="1"/>
  <c r="F493" i="1"/>
  <c r="F496" i="1"/>
  <c r="F676" i="1"/>
  <c r="F678" i="1"/>
  <c r="F403" i="1"/>
  <c r="F396" i="1"/>
  <c r="F402" i="1"/>
  <c r="F405" i="1"/>
  <c r="F406" i="1"/>
  <c r="F395" i="1"/>
  <c r="F388" i="1"/>
  <c r="F931" i="1"/>
  <c r="F942" i="1"/>
  <c r="F941" i="1"/>
  <c r="F953" i="1"/>
  <c r="F943" i="1"/>
  <c r="F929" i="1"/>
  <c r="F937" i="1"/>
  <c r="F930" i="1"/>
  <c r="F964" i="1"/>
  <c r="P5" i="1"/>
  <c r="Q5" i="1"/>
  <c r="R5" i="1"/>
  <c r="K5" i="1"/>
  <c r="F195" i="1"/>
  <c r="F201" i="1"/>
  <c r="F193" i="1"/>
  <c r="F209" i="1"/>
  <c r="F196" i="1"/>
  <c r="F207" i="1"/>
  <c r="F202" i="1"/>
  <c r="F218" i="1"/>
  <c r="F194" i="1"/>
  <c r="F226" i="1"/>
  <c r="F200" i="1"/>
  <c r="F205" i="1"/>
  <c r="F217" i="1"/>
  <c r="F228" i="1"/>
  <c r="F230" i="1"/>
  <c r="F480" i="1"/>
  <c r="F492" i="1"/>
  <c r="F87" i="1"/>
  <c r="F86" i="1"/>
  <c r="F498" i="1"/>
  <c r="F483" i="1"/>
  <c r="F479" i="1"/>
  <c r="F478" i="1"/>
  <c r="F400" i="1"/>
  <c r="F414" i="1"/>
  <c r="F500" i="1"/>
  <c r="F16" i="1"/>
  <c r="F14" i="1"/>
  <c r="F15" i="1"/>
  <c r="F18" i="1"/>
  <c r="F28" i="1"/>
  <c r="F20" i="1"/>
  <c r="F19" i="1"/>
  <c r="F36" i="1"/>
  <c r="P34" i="1"/>
  <c r="F408" i="1"/>
  <c r="F409" i="1"/>
  <c r="F410" i="1"/>
  <c r="F404" i="1"/>
  <c r="F639" i="1"/>
  <c r="F640" i="1"/>
  <c r="F633" i="1"/>
  <c r="F634" i="1"/>
  <c r="F635" i="1"/>
  <c r="Q6" i="1"/>
  <c r="P6" i="1"/>
  <c r="R6" i="1"/>
  <c r="K6" i="1"/>
  <c r="F210" i="1"/>
  <c r="F219" i="1"/>
  <c r="F204" i="1"/>
  <c r="F206" i="1"/>
  <c r="F215" i="1"/>
  <c r="F213" i="1"/>
  <c r="F208" i="1"/>
  <c r="F197" i="1"/>
  <c r="F198" i="1"/>
  <c r="F199" i="1"/>
  <c r="F203" i="1"/>
  <c r="F55" i="1"/>
  <c r="F75" i="1"/>
  <c r="F61" i="1"/>
  <c r="F57" i="1"/>
  <c r="F58" i="1"/>
  <c r="F72" i="1"/>
  <c r="F62" i="1"/>
  <c r="F63" i="1"/>
  <c r="F59" i="1"/>
  <c r="F77" i="1"/>
  <c r="F71" i="1"/>
  <c r="F76" i="1"/>
  <c r="F56" i="1"/>
  <c r="F73" i="1"/>
  <c r="F70" i="1"/>
  <c r="F81" i="1"/>
  <c r="F66" i="1"/>
  <c r="F67" i="1"/>
  <c r="F68" i="1"/>
  <c r="F69" i="1"/>
  <c r="F80" i="1"/>
  <c r="F83" i="1"/>
  <c r="F85" i="1"/>
  <c r="F74" i="1"/>
  <c r="F64" i="1"/>
  <c r="F65" i="1"/>
  <c r="F78" i="1"/>
  <c r="F79" i="1"/>
  <c r="F82" i="1"/>
  <c r="F84" i="1"/>
  <c r="F90" i="1"/>
  <c r="F92" i="1"/>
  <c r="F416" i="1"/>
  <c r="F240" i="1"/>
  <c r="F239" i="1"/>
  <c r="F247" i="1"/>
  <c r="F241" i="1"/>
  <c r="F267" i="1"/>
  <c r="F243" i="1"/>
  <c r="F255" i="1"/>
  <c r="F254" i="1"/>
  <c r="F248" i="1"/>
  <c r="F272" i="1"/>
  <c r="F271" i="1"/>
  <c r="F242" i="1"/>
  <c r="F265" i="1"/>
  <c r="F250" i="1"/>
  <c r="F251" i="1"/>
  <c r="F252" i="1"/>
  <c r="F253" i="1"/>
  <c r="F266" i="1"/>
  <c r="F268" i="1"/>
  <c r="F269" i="1"/>
  <c r="F270" i="1"/>
  <c r="F244" i="1"/>
  <c r="F259" i="1"/>
  <c r="F261" i="1"/>
  <c r="F264" i="1"/>
  <c r="F256" i="1"/>
  <c r="F257" i="1"/>
  <c r="F258" i="1"/>
  <c r="F260" i="1"/>
  <c r="F263" i="1"/>
  <c r="F262" i="1"/>
  <c r="F246" i="1"/>
  <c r="F245" i="1"/>
  <c r="F274" i="1"/>
  <c r="F171" i="1"/>
  <c r="F151" i="1"/>
  <c r="F152" i="1"/>
  <c r="F153" i="1"/>
  <c r="F156" i="1"/>
  <c r="P10" i="1"/>
  <c r="K41" i="1"/>
  <c r="F37" i="1"/>
  <c r="C4" i="1"/>
  <c r="C50" i="1"/>
  <c r="C96" i="1"/>
  <c r="C142" i="1"/>
  <c r="C188" i="1"/>
  <c r="C234" i="1"/>
  <c r="Q32" i="1"/>
  <c r="F94" i="1"/>
  <c r="F249" i="1"/>
  <c r="F684" i="1"/>
  <c r="F686" i="1"/>
  <c r="F669" i="1"/>
  <c r="F670" i="1"/>
  <c r="F663" i="1"/>
  <c r="F679" i="1"/>
  <c r="F680" i="1"/>
  <c r="F681" i="1"/>
  <c r="F682" i="1"/>
  <c r="F685" i="1"/>
  <c r="F683" i="1"/>
  <c r="F666" i="1"/>
  <c r="F667" i="1"/>
  <c r="F668" i="1"/>
  <c r="F671" i="1"/>
  <c r="F672" i="1"/>
  <c r="F673" i="1"/>
  <c r="F677" i="1"/>
  <c r="F692" i="1"/>
  <c r="F158" i="1"/>
  <c r="F157" i="1"/>
  <c r="F211" i="1"/>
  <c r="F212" i="1"/>
  <c r="F214" i="1"/>
  <c r="F222" i="1"/>
  <c r="F221" i="1"/>
  <c r="F220" i="1"/>
  <c r="F216" i="1"/>
  <c r="F38" i="1"/>
  <c r="F39" i="1"/>
  <c r="F40" i="1"/>
  <c r="F638" i="1"/>
  <c r="M5" i="1"/>
  <c r="F186" i="1"/>
  <c r="P30" i="1"/>
  <c r="Q30" i="1"/>
  <c r="R30" i="1"/>
  <c r="K30" i="1"/>
  <c r="M30" i="1"/>
  <c r="P29" i="1"/>
  <c r="Q29" i="1"/>
  <c r="R29" i="1"/>
  <c r="K29" i="1"/>
  <c r="M29" i="1"/>
  <c r="F664" i="1"/>
  <c r="F665" i="1"/>
  <c r="F41" i="1"/>
  <c r="F126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7" i="1"/>
  <c r="F128" i="1"/>
  <c r="F129" i="1"/>
  <c r="F130" i="1"/>
  <c r="F131" i="1"/>
  <c r="F132" i="1"/>
  <c r="F133" i="1"/>
  <c r="F134" i="1"/>
  <c r="F136" i="1"/>
  <c r="F138" i="1"/>
  <c r="F140" i="1"/>
  <c r="Q34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31" i="1"/>
  <c r="Q33" i="1"/>
  <c r="Q35" i="1"/>
  <c r="Q36" i="1"/>
  <c r="Q37" i="1"/>
  <c r="Q38" i="1"/>
  <c r="Q39" i="1"/>
  <c r="P8" i="1"/>
  <c r="P9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31" i="1"/>
  <c r="P32" i="1"/>
  <c r="P33" i="1"/>
  <c r="P35" i="1"/>
  <c r="P36" i="1"/>
  <c r="P37" i="1"/>
  <c r="P38" i="1"/>
  <c r="P39" i="1"/>
  <c r="R34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6" i="1"/>
  <c r="F828" i="1"/>
  <c r="F830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8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2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6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70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4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8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2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6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40" i="1"/>
  <c r="F1159" i="1"/>
  <c r="F1160" i="1"/>
  <c r="F1161" i="1"/>
  <c r="F1162" i="1"/>
  <c r="F1164" i="1"/>
  <c r="F1165" i="1"/>
  <c r="F1167" i="1"/>
  <c r="F1168" i="1"/>
  <c r="F1169" i="1"/>
  <c r="F1170" i="1"/>
  <c r="F1171" i="1"/>
  <c r="F1172" i="1"/>
  <c r="F1175" i="1"/>
  <c r="F1176" i="1"/>
  <c r="F1178" i="1"/>
  <c r="F1179" i="1"/>
  <c r="F1182" i="1"/>
  <c r="F1183" i="1"/>
  <c r="F1184" i="1"/>
  <c r="F1185" i="1"/>
  <c r="F1188" i="1"/>
  <c r="F1189" i="1"/>
  <c r="F1191" i="1"/>
  <c r="F119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8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2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6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10" i="1"/>
  <c r="F932" i="1"/>
  <c r="F933" i="1"/>
  <c r="F934" i="1"/>
  <c r="F935" i="1"/>
  <c r="F936" i="1"/>
  <c r="F938" i="1"/>
  <c r="F939" i="1"/>
  <c r="F940" i="1"/>
  <c r="F944" i="1"/>
  <c r="F945" i="1"/>
  <c r="F946" i="1"/>
  <c r="F947" i="1"/>
  <c r="F948" i="1"/>
  <c r="F949" i="1"/>
  <c r="F950" i="1"/>
  <c r="F951" i="1"/>
  <c r="F952" i="1"/>
  <c r="F954" i="1"/>
  <c r="F955" i="1"/>
  <c r="F956" i="1"/>
  <c r="F957" i="1"/>
  <c r="F958" i="1"/>
  <c r="F959" i="1"/>
  <c r="F960" i="1"/>
  <c r="F961" i="1"/>
  <c r="F96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8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2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80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4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6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6" i="1"/>
  <c r="F547" i="1"/>
  <c r="F548" i="1"/>
  <c r="F550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8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225" i="1"/>
  <c r="F224" i="1"/>
  <c r="F223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20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2" i="1"/>
  <c r="F173" i="1"/>
  <c r="F174" i="1"/>
  <c r="F175" i="1"/>
  <c r="F176" i="1"/>
  <c r="F177" i="1"/>
  <c r="F178" i="1"/>
  <c r="F179" i="1"/>
  <c r="F180" i="1"/>
  <c r="R32" i="1"/>
  <c r="R38" i="1"/>
  <c r="R37" i="1"/>
  <c r="R36" i="1"/>
  <c r="R35" i="1"/>
  <c r="R33" i="1"/>
  <c r="R31" i="1"/>
  <c r="R39" i="1"/>
  <c r="K39" i="1"/>
  <c r="M39" i="1"/>
  <c r="K38" i="1"/>
  <c r="M38" i="1"/>
  <c r="K37" i="1"/>
  <c r="M37" i="1"/>
  <c r="K36" i="1"/>
  <c r="M36" i="1"/>
  <c r="K35" i="1"/>
  <c r="M35" i="1"/>
  <c r="K34" i="1"/>
  <c r="M34" i="1"/>
  <c r="K33" i="1"/>
  <c r="M33" i="1"/>
  <c r="K32" i="1"/>
  <c r="M32" i="1"/>
  <c r="R28" i="1"/>
  <c r="K31" i="1"/>
  <c r="M31" i="1"/>
  <c r="R27" i="1"/>
  <c r="K44" i="1"/>
  <c r="K46" i="1"/>
  <c r="R24" i="1"/>
  <c r="K27" i="1"/>
  <c r="R9" i="1"/>
  <c r="K9" i="1"/>
  <c r="C280" i="1"/>
  <c r="C326" i="1"/>
  <c r="C372" i="1"/>
  <c r="C418" i="1"/>
  <c r="I67" i="1"/>
  <c r="F646" i="1"/>
  <c r="F232" i="1"/>
  <c r="C464" i="1"/>
  <c r="C510" i="1"/>
  <c r="C556" i="1"/>
  <c r="F322" i="1"/>
  <c r="F324" i="1"/>
  <c r="K55" i="1"/>
  <c r="F1150" i="1"/>
  <c r="F1152" i="1"/>
  <c r="F1104" i="1"/>
  <c r="F1334" i="1"/>
  <c r="F1336" i="1"/>
  <c r="R18" i="1"/>
  <c r="R15" i="1"/>
  <c r="K18" i="1"/>
  <c r="I58" i="1"/>
  <c r="K50" i="1"/>
  <c r="K51" i="1"/>
  <c r="K52" i="1"/>
  <c r="K49" i="1"/>
  <c r="K40" i="1"/>
  <c r="K74" i="1"/>
  <c r="R26" i="1"/>
  <c r="R25" i="1"/>
  <c r="K28" i="1"/>
  <c r="M28" i="1"/>
  <c r="M27" i="1"/>
  <c r="R23" i="1"/>
  <c r="K26" i="1"/>
  <c r="M26" i="1"/>
  <c r="R22" i="1"/>
  <c r="K25" i="1"/>
  <c r="M25" i="1"/>
  <c r="R21" i="1"/>
  <c r="K24" i="1"/>
  <c r="M24" i="1"/>
  <c r="R20" i="1"/>
  <c r="K23" i="1"/>
  <c r="M23" i="1"/>
  <c r="R19" i="1"/>
  <c r="K22" i="1"/>
  <c r="M22" i="1"/>
  <c r="K21" i="1"/>
  <c r="M21" i="1"/>
  <c r="F1610" i="1"/>
  <c r="F1612" i="1"/>
  <c r="K83" i="1"/>
  <c r="F1564" i="1"/>
  <c r="F1566" i="1"/>
  <c r="K82" i="1"/>
  <c r="F1518" i="1"/>
  <c r="F1520" i="1"/>
  <c r="K81" i="1"/>
  <c r="F1472" i="1"/>
  <c r="F1474" i="1"/>
  <c r="K80" i="1"/>
  <c r="F1426" i="1"/>
  <c r="F1428" i="1"/>
  <c r="K79" i="1"/>
  <c r="F1380" i="1"/>
  <c r="F1382" i="1"/>
  <c r="K78" i="1"/>
  <c r="K77" i="1"/>
  <c r="F1288" i="1"/>
  <c r="F1290" i="1"/>
  <c r="K76" i="1"/>
  <c r="F1242" i="1"/>
  <c r="F1244" i="1"/>
  <c r="K75" i="1"/>
  <c r="I74" i="1"/>
  <c r="K73" i="1"/>
  <c r="F1106" i="1"/>
  <c r="K72" i="1"/>
  <c r="F1058" i="1"/>
  <c r="F1060" i="1"/>
  <c r="K71" i="1"/>
  <c r="F1012" i="1"/>
  <c r="F1014" i="1"/>
  <c r="K70" i="1"/>
  <c r="F966" i="1"/>
  <c r="F968" i="1"/>
  <c r="K69" i="1"/>
  <c r="F920" i="1"/>
  <c r="F922" i="1"/>
  <c r="K68" i="1"/>
  <c r="F874" i="1"/>
  <c r="F876" i="1"/>
  <c r="K67" i="1"/>
  <c r="K66" i="1"/>
  <c r="F782" i="1"/>
  <c r="F784" i="1"/>
  <c r="K65" i="1"/>
  <c r="F736" i="1"/>
  <c r="F738" i="1"/>
  <c r="K64" i="1"/>
  <c r="K63" i="1"/>
  <c r="K62" i="1"/>
  <c r="F598" i="1"/>
  <c r="F600" i="1"/>
  <c r="K61" i="1"/>
  <c r="F552" i="1"/>
  <c r="F554" i="1"/>
  <c r="K60" i="1"/>
  <c r="K59" i="1"/>
  <c r="F460" i="1"/>
  <c r="F462" i="1"/>
  <c r="K58" i="1"/>
  <c r="K57" i="1"/>
  <c r="F366" i="1"/>
  <c r="F368" i="1"/>
  <c r="F370" i="1"/>
  <c r="K56" i="1"/>
  <c r="F276" i="1"/>
  <c r="F278" i="1"/>
  <c r="K54" i="1"/>
  <c r="K53" i="1"/>
  <c r="I83" i="1"/>
  <c r="I82" i="1"/>
  <c r="I81" i="1"/>
  <c r="I80" i="1"/>
  <c r="I79" i="1"/>
  <c r="I78" i="1"/>
  <c r="I77" i="1"/>
  <c r="I76" i="1"/>
  <c r="I75" i="1"/>
  <c r="I73" i="1"/>
  <c r="I72" i="1"/>
  <c r="I71" i="1"/>
  <c r="I70" i="1"/>
  <c r="I69" i="1"/>
  <c r="I68" i="1"/>
  <c r="I66" i="1"/>
  <c r="I65" i="1"/>
  <c r="I64" i="1"/>
  <c r="I63" i="1"/>
  <c r="I62" i="1"/>
  <c r="I61" i="1"/>
  <c r="I60" i="1"/>
  <c r="I59" i="1"/>
  <c r="I57" i="1"/>
  <c r="I56" i="1"/>
  <c r="I55" i="1"/>
  <c r="I54" i="1"/>
  <c r="I53" i="1"/>
  <c r="I52" i="1"/>
  <c r="I51" i="1"/>
  <c r="I50" i="1"/>
  <c r="R8" i="1"/>
  <c r="K8" i="1"/>
  <c r="M8" i="1"/>
  <c r="M9" i="1"/>
  <c r="R12" i="1"/>
  <c r="K15" i="1"/>
  <c r="M15" i="1"/>
  <c r="R16" i="1"/>
  <c r="R13" i="1"/>
  <c r="K16" i="1"/>
  <c r="M16" i="1"/>
  <c r="K19" i="1"/>
  <c r="M19" i="1"/>
  <c r="C648" i="1"/>
  <c r="C694" i="1"/>
  <c r="C740" i="1"/>
  <c r="C786" i="1"/>
  <c r="C832" i="1"/>
  <c r="C878" i="1"/>
  <c r="C924" i="1"/>
  <c r="C970" i="1"/>
  <c r="C1016" i="1"/>
  <c r="C1108" i="1"/>
  <c r="C1154" i="1"/>
  <c r="C1200" i="1"/>
  <c r="C1246" i="1"/>
  <c r="C1292" i="1"/>
  <c r="C1338" i="1"/>
  <c r="C1384" i="1"/>
  <c r="C1430" i="1"/>
  <c r="C1476" i="1"/>
  <c r="C1522" i="1"/>
  <c r="C1568" i="1"/>
  <c r="I49" i="1"/>
  <c r="M18" i="1"/>
  <c r="R10" i="1"/>
  <c r="K10" i="1"/>
  <c r="M10" i="1"/>
  <c r="M7" i="1"/>
  <c r="R17" i="1"/>
  <c r="R14" i="1"/>
  <c r="K17" i="1"/>
  <c r="M17" i="1"/>
  <c r="K13" i="1"/>
  <c r="M13" i="1"/>
  <c r="M6" i="1"/>
  <c r="K12" i="1"/>
  <c r="M12" i="1"/>
  <c r="R11" i="1"/>
  <c r="K11" i="1"/>
  <c r="M11" i="1"/>
  <c r="K14" i="1"/>
  <c r="M14" i="1"/>
  <c r="K20" i="1"/>
  <c r="M20" i="1"/>
  <c r="K84" i="1"/>
</calcChain>
</file>

<file path=xl/sharedStrings.xml><?xml version="1.0" encoding="utf-8"?>
<sst xmlns="http://schemas.openxmlformats.org/spreadsheetml/2006/main" count="1567" uniqueCount="207">
  <si>
    <t>Tuan</t>
  </si>
  <si>
    <t>Alamat</t>
  </si>
  <si>
    <t>Tanggal</t>
  </si>
  <si>
    <t>Barang</t>
  </si>
  <si>
    <t>S/R</t>
  </si>
  <si>
    <t>Jumlah</t>
  </si>
  <si>
    <t>Harga</t>
  </si>
  <si>
    <t>Krg kemarin</t>
  </si>
  <si>
    <t>Total</t>
  </si>
  <si>
    <t>Bayar</t>
  </si>
  <si>
    <t>Sisa</t>
  </si>
  <si>
    <t xml:space="preserve">TOTAL  </t>
  </si>
  <si>
    <t>Stok</t>
  </si>
  <si>
    <t>Cm</t>
  </si>
  <si>
    <t>Cs</t>
  </si>
  <si>
    <t>Bc</t>
  </si>
  <si>
    <t>Uang</t>
  </si>
  <si>
    <t>Sisa Kmrn</t>
  </si>
  <si>
    <t>Kw</t>
  </si>
  <si>
    <t xml:space="preserve">keluar </t>
  </si>
  <si>
    <t>s/r</t>
  </si>
  <si>
    <t>Jml</t>
  </si>
  <si>
    <t>Brg</t>
  </si>
  <si>
    <t>Cek brg keluar</t>
  </si>
  <si>
    <t>Lapak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</si>
  <si>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</si>
  <si>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</si>
  <si>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</si>
  <si>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</si>
  <si>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</si>
  <si>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</si>
  <si>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</si>
  <si>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</si>
  <si>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</si>
  <si>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</si>
  <si>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</si>
  <si>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</si>
  <si>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</si>
  <si>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</si>
  <si>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</si>
  <si>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</si>
  <si>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</si>
  <si>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</si>
  <si>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</si>
  <si>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</si>
  <si>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</si>
  <si>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</si>
  <si>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</si>
  <si>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</si>
  <si>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</si>
  <si>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No Tag</t>
  </si>
  <si>
    <t>Isi</t>
  </si>
  <si>
    <t>KERTEK</t>
  </si>
  <si>
    <t>Mb sri</t>
  </si>
  <si>
    <t>Krakal</t>
  </si>
  <si>
    <t>Keterangan :</t>
  </si>
  <si>
    <t>Pengeluaran+op</t>
  </si>
  <si>
    <t>Titip / setor</t>
  </si>
  <si>
    <t>Ninggal Lapak</t>
  </si>
  <si>
    <t>kw</t>
  </si>
  <si>
    <t>otk</t>
  </si>
  <si>
    <t>klt</t>
  </si>
  <si>
    <t>mie</t>
  </si>
  <si>
    <t>otak</t>
  </si>
  <si>
    <t>cs</t>
  </si>
  <si>
    <t>bc</t>
  </si>
  <si>
    <t>Bawa pulang</t>
  </si>
  <si>
    <t>cm</t>
  </si>
  <si>
    <t>Keterangan</t>
  </si>
  <si>
    <t>Hilang</t>
  </si>
  <si>
    <t>kulit</t>
  </si>
  <si>
    <t>pgsit</t>
  </si>
  <si>
    <t>pngst</t>
  </si>
  <si>
    <t xml:space="preserve"> </t>
  </si>
  <si>
    <t>And Oren</t>
  </si>
  <si>
    <t>An oren</t>
  </si>
  <si>
    <t>ambil</t>
  </si>
  <si>
    <t>wonosobo</t>
  </si>
  <si>
    <t>CJ</t>
  </si>
  <si>
    <t>An Mrah</t>
  </si>
  <si>
    <t>N26</t>
  </si>
  <si>
    <t>N27</t>
  </si>
  <si>
    <t>N28</t>
  </si>
  <si>
    <t>N29</t>
  </si>
  <si>
    <t>N30</t>
  </si>
  <si>
    <t>N31</t>
  </si>
  <si>
    <t>N32</t>
  </si>
  <si>
    <t>N33</t>
  </si>
  <si>
    <t>N35</t>
  </si>
  <si>
    <t>N34</t>
  </si>
  <si>
    <t>Mb Kom</t>
  </si>
  <si>
    <t>BARANG HILANG</t>
  </si>
  <si>
    <t>P Ribut</t>
  </si>
  <si>
    <t>Mb Reni</t>
  </si>
  <si>
    <t>P syarib</t>
  </si>
  <si>
    <t>P roti</t>
  </si>
  <si>
    <t>Mb Sipar</t>
  </si>
  <si>
    <t>Kertek</t>
  </si>
  <si>
    <t>Mb Tutik</t>
  </si>
  <si>
    <t>Ana sate</t>
  </si>
  <si>
    <t>Mb eni</t>
  </si>
  <si>
    <t>kertek</t>
  </si>
  <si>
    <t>Mz ADAM</t>
  </si>
  <si>
    <t>MB YAYAH</t>
  </si>
  <si>
    <t>ACENG</t>
  </si>
  <si>
    <t>NAMA</t>
  </si>
  <si>
    <t>udin</t>
  </si>
  <si>
    <t>jumlah</t>
  </si>
  <si>
    <t>banyak</t>
  </si>
  <si>
    <t>harga</t>
  </si>
  <si>
    <t>nonik</t>
  </si>
  <si>
    <t>sisa tagihan</t>
  </si>
  <si>
    <t>babe</t>
  </si>
  <si>
    <t>empek2</t>
  </si>
  <si>
    <t>r/s</t>
  </si>
  <si>
    <t>mz kukuh</t>
  </si>
  <si>
    <t>kemarin</t>
  </si>
  <si>
    <t>retur</t>
  </si>
  <si>
    <t>bayar</t>
  </si>
  <si>
    <t>nama</t>
  </si>
  <si>
    <t>sones</t>
  </si>
  <si>
    <t>salam ori</t>
  </si>
  <si>
    <t>salam stik</t>
  </si>
  <si>
    <t>Klt rakit</t>
  </si>
  <si>
    <t xml:space="preserve">Mie   </t>
  </si>
  <si>
    <t xml:space="preserve">kw   </t>
  </si>
  <si>
    <t>toples</t>
  </si>
  <si>
    <t>cireng</t>
  </si>
  <si>
    <t>bawa rumah</t>
  </si>
  <si>
    <t>:</t>
  </si>
  <si>
    <t>Rp</t>
  </si>
  <si>
    <t>Mb yuni</t>
  </si>
  <si>
    <t>mb nur</t>
  </si>
  <si>
    <t>parakan</t>
  </si>
  <si>
    <t>abon</t>
  </si>
  <si>
    <t>bk jumbo</t>
  </si>
  <si>
    <t>baru</t>
  </si>
  <si>
    <t>noval</t>
  </si>
  <si>
    <t>pangsit mj</t>
  </si>
  <si>
    <t>Otk/ basreng</t>
  </si>
  <si>
    <t>pangsit SR</t>
  </si>
  <si>
    <t>hoho</t>
  </si>
  <si>
    <t>Hemato</t>
  </si>
  <si>
    <t>sonice isi 3</t>
  </si>
  <si>
    <t>copcop</t>
  </si>
  <si>
    <t>galantin</t>
  </si>
  <si>
    <t>sobat/slm sosis</t>
  </si>
  <si>
    <t>cireng asoy</t>
  </si>
  <si>
    <t>suri</t>
  </si>
  <si>
    <t>sotong</t>
  </si>
  <si>
    <t>sobt/slm</t>
  </si>
  <si>
    <t>cireng rakit</t>
  </si>
  <si>
    <t>pangsit SR/MJ</t>
  </si>
  <si>
    <t>cikcik</t>
  </si>
  <si>
    <t>Banjar</t>
  </si>
  <si>
    <t>lama</t>
  </si>
  <si>
    <t>Bk/ns/cy</t>
  </si>
  <si>
    <t>ema</t>
  </si>
  <si>
    <t>wenda</t>
  </si>
  <si>
    <t>gemoy</t>
  </si>
  <si>
    <t>jumbo</t>
  </si>
  <si>
    <t>Banyak</t>
  </si>
  <si>
    <t>Mb sabar</t>
  </si>
  <si>
    <t>afan</t>
  </si>
  <si>
    <t>sobat/slm chic²</t>
  </si>
  <si>
    <t>mz tukin</t>
  </si>
  <si>
    <t>tahu bkso</t>
  </si>
  <si>
    <t>mnoreh merah</t>
  </si>
  <si>
    <t>mnoreh ijo</t>
  </si>
  <si>
    <t>mnoreh mrah</t>
  </si>
  <si>
    <t>Cj</t>
  </si>
  <si>
    <t>faza</t>
  </si>
  <si>
    <t>slm love</t>
  </si>
  <si>
    <t>so eco</t>
  </si>
  <si>
    <t>sejti</t>
  </si>
  <si>
    <t>somer slm</t>
  </si>
  <si>
    <t>mugi</t>
  </si>
  <si>
    <t>slm lov3</t>
  </si>
  <si>
    <t>sosis hemato</t>
  </si>
  <si>
    <t>s hemato</t>
  </si>
  <si>
    <t>discon</t>
  </si>
  <si>
    <t>ss hemto</t>
  </si>
  <si>
    <t>sejti 10</t>
  </si>
  <si>
    <t>sehom</t>
  </si>
  <si>
    <t>brownies</t>
  </si>
  <si>
    <t>brownis</t>
  </si>
  <si>
    <t>bakso rezeki</t>
  </si>
  <si>
    <t>aziz</t>
  </si>
  <si>
    <t>s hem</t>
  </si>
  <si>
    <t>bakso risky</t>
  </si>
  <si>
    <t>bakso rizky</t>
  </si>
  <si>
    <t>basko risky</t>
  </si>
  <si>
    <t>Wonosobo</t>
  </si>
  <si>
    <t>wsb</t>
  </si>
  <si>
    <t>slm crispy</t>
  </si>
  <si>
    <t>bronis balok</t>
  </si>
  <si>
    <t>bronis blaok</t>
  </si>
  <si>
    <t>ceker</t>
  </si>
  <si>
    <t>sosis supere</t>
  </si>
  <si>
    <t>sosis supre</t>
  </si>
  <si>
    <t>sosis super</t>
  </si>
  <si>
    <t>sosi supre</t>
  </si>
  <si>
    <t>sosis  super</t>
  </si>
  <si>
    <t>A super/ceker</t>
  </si>
  <si>
    <t>16 pcs royal</t>
  </si>
  <si>
    <t>crispy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</si>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</sst>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p-421]#,##0"/>
    <numFmt numFmtId="165" formatCode="0.0"/>
  </numFmts>
  <fonts count="8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rgb="FFFF0000"/>
      <name val="Calibri"/>
      <family val="2"/>
      <charset val="1"/>
      <scheme val="minor"/>
    </font>
    <font>
      <sz val="6"/>
      <name val="Yu Gothic"/>
      <family val="2"/>
      <charset val="128"/>
    </font>
    <font>
      <sz val="11"/>
      <color rgb="FFFF0000"/>
      <name val="Calibri"/>
      <family val="2"/>
      <charset val="1"/>
      <scheme val="minor"/>
    </font>
    <font>
      <u/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sz val="11"/>
      <color theme="4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6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thin">
        <color rgb="FF505050"/>
      </top>
      <bottom style="medium">
        <color rgb="FF505050"/>
      </bottom>
      <diagonal/>
    </border>
    <border>
      <left/>
      <right/>
      <top style="thin">
        <color rgb="FF505050"/>
      </top>
      <bottom style="medium">
        <color rgb="FF505050"/>
      </bottom>
      <diagonal/>
    </border>
    <border>
      <left/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thin">
        <color rgb="FF505050"/>
      </bottom>
      <diagonal/>
    </border>
    <border>
      <left/>
      <right/>
      <top style="medium">
        <color rgb="FF505050"/>
      </top>
      <bottom style="thin">
        <color rgb="FF505050"/>
      </bottom>
      <diagonal/>
    </border>
    <border>
      <left/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medium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medium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medium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medium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/>
      <top/>
      <bottom style="thin">
        <color rgb="FF50505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medium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/>
      <top/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/>
      <diagonal/>
    </border>
    <border>
      <left style="medium">
        <color rgb="FF505050"/>
      </left>
      <right style="thin">
        <color indexed="64"/>
      </right>
      <top style="medium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rgb="FF505050"/>
      </top>
      <bottom/>
      <diagonal/>
    </border>
    <border>
      <left style="thin">
        <color indexed="64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505050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10" xfId="0" applyBorder="1"/>
    <xf numFmtId="0" fontId="0" fillId="0" borderId="5" xfId="0" applyBorder="1" applyAlignment="1">
      <alignment horizontal="center"/>
    </xf>
    <xf numFmtId="164" fontId="0" fillId="0" borderId="6" xfId="0" applyNumberFormat="1" applyBorder="1" applyAlignment="1">
      <alignment horizontal="left"/>
    </xf>
    <xf numFmtId="164" fontId="1" fillId="2" borderId="14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left"/>
    </xf>
    <xf numFmtId="0" fontId="0" fillId="0" borderId="25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164" fontId="0" fillId="0" borderId="4" xfId="0" applyNumberFormat="1" applyBorder="1" applyAlignment="1">
      <alignment horizontal="left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0" fillId="2" borderId="6" xfId="0" applyNumberFormat="1" applyFill="1" applyBorder="1" applyAlignment="1">
      <alignment horizontal="left"/>
    </xf>
    <xf numFmtId="0" fontId="1" fillId="0" borderId="0" xfId="0" applyFont="1"/>
    <xf numFmtId="0" fontId="1" fillId="0" borderId="0" xfId="0" applyFont="1" applyAlignment="1">
      <alignment vertical="center"/>
    </xf>
    <xf numFmtId="0" fontId="5" fillId="5" borderId="0" xfId="0" applyFont="1" applyFill="1"/>
    <xf numFmtId="0" fontId="5" fillId="5" borderId="0" xfId="0" applyFont="1" applyFill="1" applyAlignment="1">
      <alignment vertical="center"/>
    </xf>
    <xf numFmtId="0" fontId="4" fillId="6" borderId="0" xfId="0" applyFont="1" applyFill="1"/>
    <xf numFmtId="0" fontId="0" fillId="6" borderId="0" xfId="0" applyFill="1"/>
    <xf numFmtId="0" fontId="0" fillId="0" borderId="36" xfId="0" applyBorder="1"/>
    <xf numFmtId="0" fontId="0" fillId="2" borderId="36" xfId="0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2" borderId="14" xfId="0" applyFill="1" applyBorder="1" applyAlignment="1">
      <alignment horizontal="center"/>
    </xf>
    <xf numFmtId="164" fontId="0" fillId="0" borderId="6" xfId="0" applyNumberFormat="1" applyBorder="1" applyAlignment="1">
      <alignment horizontal="left" vertical="top"/>
    </xf>
    <xf numFmtId="0" fontId="0" fillId="0" borderId="37" xfId="0" applyBorder="1"/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24" xfId="0" applyBorder="1" applyAlignment="1">
      <alignment horizontal="center" vertical="center"/>
    </xf>
    <xf numFmtId="0" fontId="0" fillId="0" borderId="48" xfId="0" applyBorder="1"/>
    <xf numFmtId="0" fontId="0" fillId="0" borderId="48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22" xfId="0" applyBorder="1"/>
    <xf numFmtId="0" fontId="0" fillId="0" borderId="22" xfId="0" applyBorder="1" applyAlignment="1">
      <alignment horizontal="left"/>
    </xf>
    <xf numFmtId="1" fontId="0" fillId="0" borderId="24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1" xfId="0" applyBorder="1"/>
    <xf numFmtId="0" fontId="0" fillId="0" borderId="46" xfId="0" applyBorder="1" applyAlignment="1">
      <alignment horizontal="center"/>
    </xf>
    <xf numFmtId="0" fontId="0" fillId="0" borderId="48" xfId="0" applyBorder="1" applyAlignment="1">
      <alignment horizontal="left"/>
    </xf>
    <xf numFmtId="164" fontId="0" fillId="0" borderId="0" xfId="0" applyNumberFormat="1"/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vertical="center" wrapText="1"/>
    </xf>
    <xf numFmtId="0" fontId="0" fillId="0" borderId="45" xfId="0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5" fillId="7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164" fontId="1" fillId="2" borderId="15" xfId="0" applyNumberFormat="1" applyFont="1" applyFill="1" applyBorder="1" applyAlignment="1">
      <alignment horizontal="left"/>
    </xf>
    <xf numFmtId="164" fontId="0" fillId="0" borderId="56" xfId="0" applyNumberFormat="1" applyBorder="1" applyAlignment="1">
      <alignment horizontal="left" vertical="top"/>
    </xf>
    <xf numFmtId="0" fontId="0" fillId="0" borderId="22" xfId="0" applyBorder="1" applyAlignment="1">
      <alignment horizontal="center"/>
    </xf>
    <xf numFmtId="164" fontId="7" fillId="0" borderId="6" xfId="0" applyNumberFormat="1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0" fontId="0" fillId="0" borderId="36" xfId="0" applyFont="1" applyBorder="1" applyAlignment="1">
      <alignment horizontal="center"/>
    </xf>
    <xf numFmtId="0" fontId="0" fillId="2" borderId="36" xfId="0" applyFont="1" applyFill="1" applyBorder="1" applyAlignment="1">
      <alignment horizontal="center"/>
    </xf>
    <xf numFmtId="0" fontId="0" fillId="2" borderId="1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2" borderId="36" xfId="0" applyFon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43" xfId="0" applyBorder="1" applyAlignment="1">
      <alignment horizontal="center" vertical="center"/>
    </xf>
    <xf numFmtId="164" fontId="0" fillId="0" borderId="56" xfId="0" applyNumberFormat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5" xfId="0" applyBorder="1" applyAlignment="1">
      <alignment horizontal="center"/>
    </xf>
    <xf numFmtId="164" fontId="0" fillId="7" borderId="56" xfId="0" applyNumberFormat="1" applyFill="1" applyBorder="1" applyAlignment="1">
      <alignment horizontal="left"/>
    </xf>
    <xf numFmtId="0" fontId="0" fillId="0" borderId="58" xfId="0" applyBorder="1" applyAlignment="1">
      <alignment horizontal="center"/>
    </xf>
    <xf numFmtId="0" fontId="0" fillId="0" borderId="59" xfId="0" applyBorder="1"/>
    <xf numFmtId="0" fontId="0" fillId="0" borderId="59" xfId="0" applyBorder="1" applyAlignment="1">
      <alignment horizontal="left"/>
    </xf>
    <xf numFmtId="0" fontId="0" fillId="0" borderId="60" xfId="0" applyBorder="1"/>
    <xf numFmtId="0" fontId="0" fillId="0" borderId="2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0" fontId="0" fillId="5" borderId="0" xfId="0" applyFill="1" applyBorder="1"/>
    <xf numFmtId="0" fontId="0" fillId="0" borderId="0" xfId="0" applyBorder="1" applyAlignment="1">
      <alignment horizontal="center" vertical="center"/>
    </xf>
    <xf numFmtId="0" fontId="0" fillId="5" borderId="26" xfId="0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4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165" fontId="0" fillId="0" borderId="22" xfId="0" applyNumberForma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0" fillId="0" borderId="36" xfId="0" applyBorder="1" applyAlignment="1">
      <alignment horizontal="left"/>
    </xf>
    <xf numFmtId="164" fontId="0" fillId="7" borderId="39" xfId="0" applyNumberFormat="1" applyFill="1" applyBorder="1" applyAlignment="1">
      <alignment horizontal="left"/>
    </xf>
    <xf numFmtId="1" fontId="0" fillId="0" borderId="5" xfId="0" applyNumberFormat="1" applyBorder="1" applyAlignment="1">
      <alignment horizontal="center"/>
    </xf>
    <xf numFmtId="1" fontId="0" fillId="0" borderId="22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center"/>
    </xf>
    <xf numFmtId="164" fontId="0" fillId="0" borderId="1" xfId="0" applyNumberFormat="1" applyBorder="1" applyAlignment="1">
      <alignment horizontal="left" vertical="top"/>
    </xf>
    <xf numFmtId="0" fontId="0" fillId="0" borderId="24" xfId="0" applyBorder="1" applyAlignment="1">
      <alignment horizontal="left"/>
    </xf>
    <xf numFmtId="0" fontId="0" fillId="0" borderId="32" xfId="0" applyBorder="1" applyAlignment="1">
      <alignment horizontal="center" vertical="center"/>
    </xf>
    <xf numFmtId="164" fontId="0" fillId="0" borderId="27" xfId="0" applyNumberFormat="1" applyBorder="1" applyAlignment="1">
      <alignment horizontal="left"/>
    </xf>
    <xf numFmtId="0" fontId="0" fillId="0" borderId="22" xfId="0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6" xfId="0" applyNumberFormat="1" applyFont="1" applyBorder="1" applyAlignment="1">
      <alignment horizontal="left"/>
    </xf>
    <xf numFmtId="0" fontId="4" fillId="0" borderId="24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/>
    <xf numFmtId="0" fontId="0" fillId="0" borderId="62" xfId="0" applyBorder="1" applyAlignment="1">
      <alignment horizontal="left"/>
    </xf>
    <xf numFmtId="0" fontId="0" fillId="0" borderId="63" xfId="0" applyBorder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15" fontId="1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164" fontId="0" fillId="0" borderId="57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4" borderId="33" xfId="0" applyFont="1" applyFill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164" fontId="0" fillId="2" borderId="26" xfId="0" applyNumberFormat="1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0" borderId="26" xfId="0" applyBorder="1" applyAlignment="1">
      <alignment horizontal="center"/>
    </xf>
    <xf numFmtId="164" fontId="0" fillId="2" borderId="23" xfId="0" applyNumberFormat="1" applyFill="1" applyBorder="1" applyAlignment="1">
      <alignment horizontal="center"/>
    </xf>
    <xf numFmtId="164" fontId="0" fillId="2" borderId="27" xfId="0" applyNumberFormat="1" applyFill="1" applyBorder="1" applyAlignment="1">
      <alignment horizontal="center"/>
    </xf>
    <xf numFmtId="15" fontId="1" fillId="2" borderId="28" xfId="0" applyNumberFormat="1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3" xfId="0" applyBorder="1" applyAlignment="1">
      <alignment horizontal="center"/>
    </xf>
    <xf numFmtId="164" fontId="0" fillId="2" borderId="40" xfId="0" applyNumberFormat="1" applyFill="1" applyBorder="1" applyAlignment="1">
      <alignment horizontal="center"/>
    </xf>
    <xf numFmtId="164" fontId="0" fillId="2" borderId="41" xfId="0" applyNumberFormat="1" applyFill="1" applyBorder="1" applyAlignment="1">
      <alignment horizontal="center"/>
    </xf>
    <xf numFmtId="164" fontId="0" fillId="2" borderId="42" xfId="0" applyNumberFormat="1" applyFill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0" borderId="35" xfId="0" applyNumberFormat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164" fontId="4" fillId="6" borderId="26" xfId="0" applyNumberFormat="1" applyFont="1" applyFill="1" applyBorder="1" applyAlignment="1">
      <alignment horizontal="center"/>
    </xf>
    <xf numFmtId="164" fontId="4" fillId="6" borderId="23" xfId="0" applyNumberFormat="1" applyFont="1" applyFill="1" applyBorder="1" applyAlignment="1">
      <alignment horizontal="center"/>
    </xf>
    <xf numFmtId="164" fontId="4" fillId="6" borderId="24" xfId="0" applyNumberFormat="1" applyFont="1" applyFill="1" applyBorder="1" applyAlignment="1">
      <alignment horizontal="center"/>
    </xf>
    <xf numFmtId="15" fontId="1" fillId="2" borderId="12" xfId="0" applyNumberFormat="1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164" fontId="1" fillId="2" borderId="52" xfId="0" applyNumberFormat="1" applyFont="1" applyFill="1" applyBorder="1" applyAlignment="1">
      <alignment horizontal="center"/>
    </xf>
    <xf numFmtId="0" fontId="1" fillId="2" borderId="53" xfId="0" applyFont="1" applyFill="1" applyBorder="1" applyAlignment="1">
      <alignment horizontal="center"/>
    </xf>
    <xf numFmtId="0" fontId="1" fillId="2" borderId="54" xfId="0" applyFont="1" applyFill="1" applyBorder="1" applyAlignment="1">
      <alignment horizontal="center"/>
    </xf>
    <xf numFmtId="15" fontId="1" fillId="0" borderId="29" xfId="0" applyNumberFormat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37" xfId="0" applyBorder="1" applyAlignment="1">
      <alignment horizontal="right"/>
    </xf>
    <xf numFmtId="0" fontId="0" fillId="0" borderId="33" xfId="0" applyBorder="1" applyAlignment="1">
      <alignment horizontal="right"/>
    </xf>
    <xf numFmtId="0" fontId="0" fillId="0" borderId="32" xfId="0" applyBorder="1" applyAlignment="1">
      <alignment horizontal="right"/>
    </xf>
    <xf numFmtId="0" fontId="1" fillId="4" borderId="28" xfId="0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164" fontId="0" fillId="2" borderId="31" xfId="0" applyNumberFormat="1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164" fontId="0" fillId="2" borderId="57" xfId="0" applyNumberFormat="1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0" fontId="4" fillId="0" borderId="18" xfId="0" applyFont="1" applyBorder="1" applyAlignment="1">
      <alignment horizontal="center" vertical="top"/>
    </xf>
    <xf numFmtId="0" fontId="4" fillId="0" borderId="47" xfId="0" applyFont="1" applyBorder="1" applyAlignment="1">
      <alignment horizontal="center" vertical="top"/>
    </xf>
    <xf numFmtId="164" fontId="4" fillId="2" borderId="31" xfId="0" applyNumberFormat="1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70C29-0848-F341-8E09-893BDCA8CC2B}">
  <dimension ref="A1:T1612"/>
  <sheetViews>
    <sheetView tabSelected="1" topLeftCell="F1" zoomScale="76" zoomScaleNormal="76" zoomScaleSheetLayoutView="100" workbookViewId="0">
      <selection activeCell="L8" sqref="L8"/>
    </sheetView>
  </sheetViews>
  <sheetFormatPr defaultRowHeight="15" x14ac:dyDescent="0.2"/>
  <cols>
    <col min="1" max="1" width="5.91796875" bestFit="1" customWidth="1"/>
    <col min="2" max="2" width="7.3984375" bestFit="1" customWidth="1"/>
    <col min="3" max="3" width="16.27734375" bestFit="1" customWidth="1"/>
    <col min="4" max="4" width="8.203125" bestFit="1" customWidth="1"/>
    <col min="5" max="5" width="9.953125" bestFit="1" customWidth="1"/>
    <col min="6" max="6" width="15.73828125" bestFit="1" customWidth="1"/>
    <col min="7" max="7" width="10.0859375" bestFit="1" customWidth="1"/>
    <col min="8" max="8" width="15.33203125" bestFit="1" customWidth="1"/>
    <col min="9" max="9" width="7.26171875" customWidth="1"/>
    <col min="10" max="10" width="8.33984375" customWidth="1"/>
    <col min="11" max="11" width="9.01171875" bestFit="1" customWidth="1"/>
    <col min="12" max="12" width="6.859375" bestFit="1" customWidth="1"/>
    <col min="13" max="13" width="6.05078125" customWidth="1"/>
    <col min="14" max="14" width="4.16796875" customWidth="1"/>
    <col min="15" max="15" width="9.81640625" bestFit="1" customWidth="1"/>
    <col min="16" max="16" width="11.1640625" bestFit="1" customWidth="1"/>
    <col min="17" max="17" width="8.47265625" bestFit="1" customWidth="1"/>
    <col min="18" max="18" width="9.01171875" bestFit="1" customWidth="1"/>
    <col min="19" max="19" width="5.37890625" bestFit="1" customWidth="1"/>
    <col min="20" max="20" width="11.703125" bestFit="1" customWidth="1"/>
    <col min="21" max="21" width="4.83984375" bestFit="1" customWidth="1"/>
    <col min="22" max="22" width="4.16796875" bestFit="1" customWidth="1"/>
  </cols>
  <sheetData>
    <row r="1" spans="1:20" ht="15.75" thickBot="1" x14ac:dyDescent="0.25"/>
    <row r="2" spans="1:20" ht="15.75" thickBot="1" x14ac:dyDescent="0.25">
      <c r="B2" s="216" t="s">
        <v>52</v>
      </c>
      <c r="C2" s="217"/>
      <c r="D2" s="217"/>
      <c r="E2" s="211">
        <v>46315</v>
      </c>
      <c r="F2" s="212"/>
      <c r="H2" s="186">
        <f>E2</f>
        <v>46315</v>
      </c>
      <c r="I2" s="187"/>
      <c r="J2" s="187"/>
      <c r="K2" s="187"/>
      <c r="L2" s="187"/>
      <c r="M2" s="188"/>
      <c r="N2" s="15"/>
    </row>
    <row r="3" spans="1:20" ht="15.75" thickBot="1" x14ac:dyDescent="0.25">
      <c r="O3" t="s">
        <v>23</v>
      </c>
    </row>
    <row r="4" spans="1:20" ht="15.75" thickBot="1" x14ac:dyDescent="0.25">
      <c r="A4" s="27" t="s">
        <v>25</v>
      </c>
      <c r="B4" s="6" t="s">
        <v>2</v>
      </c>
      <c r="C4" s="156">
        <f>E2</f>
        <v>46315</v>
      </c>
      <c r="D4" s="157"/>
      <c r="E4" s="157"/>
      <c r="F4" s="158"/>
      <c r="H4" s="13" t="s">
        <v>12</v>
      </c>
      <c r="I4" s="21" t="s">
        <v>136</v>
      </c>
      <c r="J4" s="21" t="s">
        <v>155</v>
      </c>
      <c r="K4" s="21" t="s">
        <v>19</v>
      </c>
      <c r="L4" s="21" t="s">
        <v>117</v>
      </c>
      <c r="M4" s="22" t="s">
        <v>10</v>
      </c>
      <c r="O4" s="35" t="s">
        <v>22</v>
      </c>
      <c r="P4" s="24" t="s">
        <v>51</v>
      </c>
      <c r="Q4" s="11" t="s">
        <v>20</v>
      </c>
      <c r="R4" s="11" t="s">
        <v>21</v>
      </c>
      <c r="S4" s="18"/>
      <c r="T4" s="18"/>
    </row>
    <row r="5" spans="1:20" x14ac:dyDescent="0.2">
      <c r="B5" s="7" t="s">
        <v>0</v>
      </c>
      <c r="C5" s="164" t="s">
        <v>53</v>
      </c>
      <c r="D5" s="164"/>
      <c r="E5" s="164"/>
      <c r="F5" s="143"/>
      <c r="H5" s="3" t="s">
        <v>67</v>
      </c>
      <c r="I5" s="53">
        <v>480</v>
      </c>
      <c r="J5" s="19">
        <v>157</v>
      </c>
      <c r="K5" s="136">
        <f>R5</f>
        <v>620</v>
      </c>
      <c r="L5" s="19"/>
      <c r="M5" s="20">
        <f>(I5+J5) -(K5+J16+L5)</f>
        <v>17</v>
      </c>
      <c r="N5" s="14"/>
      <c r="O5" s="1" t="s">
        <v>67</v>
      </c>
      <c r="P5" s="110">
        <f>B9+B55+B101+B147+B193+B239+B285+B331+B377+B423+B469+B515+B561+B607+B653+B699+B745+B791+B837+B883+B929+B975+B1021+B1067+B1113+B1159+B1205+B1251+B1297+B1343+B1389+B1435+B1481+B1527+B1573</f>
        <v>620</v>
      </c>
      <c r="Q5" s="26">
        <f>D9+D55+D101+D147+D193+D239+D285+D331+D377+D423+D469+D515+D561+D607+D653+D699+D745+D791+D837+D883+D929+D975+D1021+D1067+D1113+D1159+D1205+D1251+D1297+D1343+D1389+D1435+D1481+D1527+D1573</f>
        <v>0</v>
      </c>
      <c r="R5" s="26">
        <f>P5-Q5</f>
        <v>620</v>
      </c>
      <c r="S5" s="18"/>
      <c r="T5" s="18"/>
    </row>
    <row r="6" spans="1:20" x14ac:dyDescent="0.2">
      <c r="B6" s="7" t="s">
        <v>1</v>
      </c>
      <c r="C6" s="164" t="s">
        <v>54</v>
      </c>
      <c r="D6" s="164"/>
      <c r="E6" s="164"/>
      <c r="F6" s="143"/>
      <c r="H6" s="50" t="s">
        <v>14</v>
      </c>
      <c r="I6" s="24">
        <v>75</v>
      </c>
      <c r="J6" s="52">
        <v>15</v>
      </c>
      <c r="K6" s="101">
        <f>R6</f>
        <v>90</v>
      </c>
      <c r="L6" s="24"/>
      <c r="M6" s="102">
        <f t="shared" ref="M5:M15" si="0">(I6+J6) -(K6+L6)</f>
        <v>0</v>
      </c>
      <c r="N6" s="14"/>
      <c r="O6" s="1" t="s">
        <v>14</v>
      </c>
      <c r="P6" s="110">
        <f>B10+B56+B102+B148+B194+B240+B286+B332+B378+B424+B470+B516+B562+B608+B654+B700+B746+B792+B838+B884+B930+B976+B1022+B1068+B1114+B1160+B1206+B1252+B1298+B1344+B1390+B1436+B1482+B1528+B1574</f>
        <v>90</v>
      </c>
      <c r="Q6" s="26">
        <f>D10+D56+D102+D148+D194+D240+D286+D332+D378+D424+D470+D516+D562+D608+D654+D700+D746+D792+D838+D884+D930+D976+D1022+D1068+D1114+D1160+D1206+D1252+D1298+D1344+D1390+D1436+D1482+D1528+D1574</f>
        <v>0</v>
      </c>
      <c r="R6" s="26">
        <f>P6-Q6</f>
        <v>90</v>
      </c>
      <c r="S6" s="18"/>
      <c r="T6" s="18"/>
    </row>
    <row r="7" spans="1:20" ht="15.75" thickBot="1" x14ac:dyDescent="0.25">
      <c r="B7" s="7"/>
      <c r="C7" s="164"/>
      <c r="D7" s="164"/>
      <c r="E7" s="164"/>
      <c r="F7" s="143"/>
      <c r="H7" s="50" t="s">
        <v>15</v>
      </c>
      <c r="I7" s="24">
        <v>425</v>
      </c>
      <c r="J7" s="99">
        <v>155</v>
      </c>
      <c r="K7" s="101">
        <f>R7</f>
        <v>578</v>
      </c>
      <c r="L7" s="24">
        <v>2</v>
      </c>
      <c r="M7" s="102">
        <f t="shared" si="0"/>
        <v>0</v>
      </c>
      <c r="N7" s="14"/>
      <c r="O7" s="1" t="s">
        <v>15</v>
      </c>
      <c r="P7" s="110">
        <f>B11+B57+B103+B149+B195+B241+B287+B333+B379+B425+B471+B517+B563+B609+B655+B701+B747+B793+B839+B885+B931+B977+B1023+B1069+B1115+B1161+B1207+B1253+B1299+B1345+B1391+B1437+B1483+B1529+B1575</f>
        <v>580</v>
      </c>
      <c r="Q7" s="26">
        <f>D11+D57+D103+D149+D195+D241+D287+D333+D379+D425+D471+D517+D563+D609+D655+D701+D747+D793+D839+D885+D931+D977+D1023+D1069+D1115+D1161+D1207+D1253+D1299+D1345+D1391+D1437+D1483+D1529+D1575</f>
        <v>2</v>
      </c>
      <c r="R7" s="26">
        <f>P7-Q7</f>
        <v>578</v>
      </c>
      <c r="S7" s="18"/>
      <c r="T7" s="18"/>
    </row>
    <row r="8" spans="1:20" x14ac:dyDescent="0.2">
      <c r="B8" s="89" t="s">
        <v>108</v>
      </c>
      <c r="C8" s="21" t="s">
        <v>3</v>
      </c>
      <c r="D8" s="21" t="s">
        <v>114</v>
      </c>
      <c r="E8" s="21" t="s">
        <v>6</v>
      </c>
      <c r="F8" s="22" t="s">
        <v>5</v>
      </c>
      <c r="H8" s="50" t="s">
        <v>62</v>
      </c>
      <c r="I8" s="24">
        <v>30</v>
      </c>
      <c r="J8" s="99">
        <v>10.5</v>
      </c>
      <c r="K8" s="101">
        <f t="shared" ref="K5:K15" si="1">R8</f>
        <v>37</v>
      </c>
      <c r="L8" s="24">
        <v>2</v>
      </c>
      <c r="M8" s="102">
        <f t="shared" si="0"/>
        <v>1.5</v>
      </c>
      <c r="N8" s="14"/>
      <c r="O8" s="1" t="s">
        <v>62</v>
      </c>
      <c r="P8" s="110">
        <f>B12+B58+B104+B150+B196+B242+B288+B334+B380+B426+B472+B518+B564+B610+B656+B702+B748+B794+B840+B886+B932+B978+B1024+B1070+B1116+B1162+B1208+B1254+B1300+B1346+B1392+B1438+B1484+B1530+B1576</f>
        <v>39</v>
      </c>
      <c r="Q8" s="26">
        <f>D12+D58+D104+D150+D196+D242+D288+D334+D380+D426+D472+D518+D564+D610+D656+D702+D748+D794+D840+D886+D932+D978+D1024+D1070+D1116+D1162+D1208+D1254+D1300+D1346+D1392+D1438+D1484+D1530+D1576</f>
        <v>2</v>
      </c>
      <c r="R8" s="26">
        <f>P8-Q8</f>
        <v>37</v>
      </c>
      <c r="S8" s="18"/>
      <c r="T8" s="18"/>
    </row>
    <row r="9" spans="1:20" x14ac:dyDescent="0.2">
      <c r="B9" s="8">
        <v>150</v>
      </c>
      <c r="C9" s="1" t="s">
        <v>67</v>
      </c>
      <c r="D9" s="60"/>
      <c r="E9" s="2">
        <v>3750</v>
      </c>
      <c r="F9" s="9">
        <f>(B9-D9) *E9</f>
        <v>562500</v>
      </c>
      <c r="H9" s="50" t="s">
        <v>18</v>
      </c>
      <c r="I9" s="24">
        <v>10</v>
      </c>
      <c r="J9" s="99">
        <v>6</v>
      </c>
      <c r="K9" s="101">
        <f>R9</f>
        <v>6</v>
      </c>
      <c r="L9" s="24"/>
      <c r="M9" s="102">
        <f t="shared" si="0"/>
        <v>10</v>
      </c>
      <c r="N9" s="14"/>
      <c r="O9" s="1" t="s">
        <v>18</v>
      </c>
      <c r="P9" s="110">
        <f>B13+B59+B105+B151+B197+B243+B289+B335+B381+B427+B473+B519+B565+B611+B657+B703+B749+B795+B841+B887+B933+B979+B1025+B1071+B1117+B1163+B1209+B1255+B1301+B1347+B1393+B1439+B1485+B1531+B1577</f>
        <v>7</v>
      </c>
      <c r="Q9" s="26">
        <f>D13+D59+D105+D151+D197+D243+D289+D335+D381+D427+D473+D519+D565+D611+D657+D703+D749+D795+D841+D887+D933+D979+D1025+D1071+D1117+D1163+D1209+D1255+D1301+D1347+D1393+D1439+D1485+D1531+D1577</f>
        <v>1</v>
      </c>
      <c r="R9" s="26">
        <f>P9-Q9</f>
        <v>6</v>
      </c>
      <c r="S9" s="18"/>
      <c r="T9" s="18"/>
    </row>
    <row r="10" spans="1:20" x14ac:dyDescent="0.2">
      <c r="B10" s="8">
        <v>25</v>
      </c>
      <c r="C10" s="1" t="s">
        <v>64</v>
      </c>
      <c r="D10" s="60"/>
      <c r="E10" s="2">
        <v>9250</v>
      </c>
      <c r="F10" s="9">
        <f t="shared" ref="F10:F42" si="2">(B10-D10) *E10</f>
        <v>231250</v>
      </c>
      <c r="H10" s="50" t="s">
        <v>139</v>
      </c>
      <c r="I10" s="24">
        <v>2</v>
      </c>
      <c r="J10" s="99"/>
      <c r="K10" s="101">
        <f t="shared" si="1"/>
        <v>2</v>
      </c>
      <c r="L10" s="24"/>
      <c r="M10" s="102">
        <f t="shared" si="0"/>
        <v>0</v>
      </c>
      <c r="N10" s="14"/>
      <c r="O10" s="1" t="s">
        <v>139</v>
      </c>
      <c r="P10" s="110">
        <f>B14+B60+B106+B152+B198+B244+B290+B336+B382+B428+B474+B520+B566+B612+B658+B704+B750+B796+B842+B888+B934+B980+B1026+B1072+B1118+B1164+B1210+B1256+B1302+B1348+B1394+B1440+B1486+B1532+B1578</f>
        <v>2</v>
      </c>
      <c r="Q10" s="26">
        <f>D14+D60+D106+D152+D198+D244+D290+D336+D382+D428+D474+D520+D566+D612+D658+D704+D750+D796+D842+D888+D934+D980+D1026+D1072+D1118+D1164+D1210+D1256+D1302+D1348+D1394+D1440+D1486+D1532+D1578</f>
        <v>0</v>
      </c>
      <c r="R10" s="26">
        <f>P10-Q10</f>
        <v>2</v>
      </c>
      <c r="S10" s="18"/>
      <c r="T10" s="18"/>
    </row>
    <row r="11" spans="1:20" x14ac:dyDescent="0.2">
      <c r="B11" s="84">
        <v>100</v>
      </c>
      <c r="C11" s="46" t="s">
        <v>15</v>
      </c>
      <c r="D11" s="80"/>
      <c r="E11" s="56">
        <v>4750</v>
      </c>
      <c r="F11" s="81">
        <f t="shared" si="2"/>
        <v>475000</v>
      </c>
      <c r="H11" s="40" t="s">
        <v>123</v>
      </c>
      <c r="I11" s="24">
        <v>100</v>
      </c>
      <c r="J11" s="99"/>
      <c r="K11" s="101">
        <f t="shared" si="1"/>
        <v>100</v>
      </c>
      <c r="L11" s="24"/>
      <c r="M11" s="102">
        <f t="shared" si="0"/>
        <v>0</v>
      </c>
      <c r="N11" s="14"/>
      <c r="O11" s="1" t="s">
        <v>123</v>
      </c>
      <c r="P11" s="110">
        <f>B15+B61+B107+B153+B199+B245+B291+B337+B383+B429+B475+B521+B567+B613+B659+B705+B751+B797+B843+B889+B935+B981+B1027+B1073+B1119+B1165+B1211+B1257+B1303+B1349+B1395+B1441+B1487+B1533+B1579</f>
        <v>100</v>
      </c>
      <c r="Q11" s="26">
        <f>D15+D61+D107+D153+D199+D245+D291+D337+D383+D429+D475+D521+D567+D613+D659+D705+D751+D797+D843+D889+D935+D981+D1027+D1073+D1119+D1165+D1211+D1257+D1303+D1349+D1395+D1441+D1487+D1533+D1579</f>
        <v>0</v>
      </c>
      <c r="R11" s="26">
        <f>P11-Q11</f>
        <v>100</v>
      </c>
      <c r="S11" s="18"/>
      <c r="T11" s="18"/>
    </row>
    <row r="12" spans="1:20" x14ac:dyDescent="0.2">
      <c r="B12" s="83"/>
      <c r="C12" s="1" t="s">
        <v>62</v>
      </c>
      <c r="D12" s="45"/>
      <c r="E12" s="2">
        <v>17000</v>
      </c>
      <c r="F12" s="9">
        <f t="shared" si="2"/>
        <v>0</v>
      </c>
      <c r="H12" s="40" t="s">
        <v>203</v>
      </c>
      <c r="I12" s="24"/>
      <c r="J12" s="100"/>
      <c r="K12" s="25">
        <f t="shared" si="1"/>
        <v>0</v>
      </c>
      <c r="L12" s="37"/>
      <c r="M12" s="38">
        <f t="shared" si="0"/>
        <v>0</v>
      </c>
      <c r="N12" s="14"/>
      <c r="O12" s="1" t="s">
        <v>127</v>
      </c>
      <c r="P12" s="110">
        <f>B16+B62+B108+B154+B200+B246+B292+B338+B384+B430+B476+B522+B568+B614+B660+B706+B752+B798+B844+B890+B936+B982+B1028+B1074+B1120+B1166+B1212+B1258+B1304+B1350+B1396+B1442+B1488+B1534+B1580</f>
        <v>0</v>
      </c>
      <c r="Q12" s="26">
        <f>D16+D62+D108+D154+D200+D246+D292+D338+D384+D430+D476+D522+D568+D614+D660+D706+D752+D798+D844+D890+D936+D982+D1028+D1074+D1120+D1166+D1212+D1258+D1304+D1350+D1396+D1442+D1488+D1534+D1580</f>
        <v>0</v>
      </c>
      <c r="R12" s="36">
        <f>P12-Q12</f>
        <v>0</v>
      </c>
    </row>
    <row r="13" spans="1:20" x14ac:dyDescent="0.2">
      <c r="B13" s="83"/>
      <c r="C13" s="1" t="s">
        <v>18</v>
      </c>
      <c r="D13" s="45"/>
      <c r="E13" s="2"/>
      <c r="F13" s="9">
        <f t="shared" si="2"/>
        <v>0</v>
      </c>
      <c r="H13" s="51" t="s">
        <v>74</v>
      </c>
      <c r="I13" s="24">
        <v>1080</v>
      </c>
      <c r="J13" s="100"/>
      <c r="K13" s="25">
        <f t="shared" si="1"/>
        <v>1080</v>
      </c>
      <c r="L13" s="37"/>
      <c r="M13" s="38">
        <f t="shared" si="0"/>
        <v>0</v>
      </c>
      <c r="N13" s="14"/>
      <c r="O13" s="2" t="s">
        <v>74</v>
      </c>
      <c r="P13" s="110">
        <f>B17+B63+B109+B155+B201+B247+B293+B339+B385+B431+B477+B523+B569+B615+B661+B707+B753+B799+B845+B891+B937+B983+B1029+B1075+B1121+B1167+B1213+B1259+B1305+B1351+B1397+B1443+B1489+B1535+B1581</f>
        <v>1080</v>
      </c>
      <c r="Q13" s="26">
        <f>D17+D63+D109+D155+D201+D247+D293+D339+D385+D431+D477+D523+D569+D615+D661+D707+D753+D799+D845+D891+D937+D983+D1029+D1075+D1121+D1167+D1213+D1259+D1305+D1351+D1397+D1443+D1489+D1535+D1581</f>
        <v>0</v>
      </c>
      <c r="R13" s="36">
        <f>P13-Q13</f>
        <v>1080</v>
      </c>
    </row>
    <row r="14" spans="1:20" x14ac:dyDescent="0.2">
      <c r="B14" s="83"/>
      <c r="C14" s="1" t="s">
        <v>139</v>
      </c>
      <c r="D14" s="45"/>
      <c r="E14" s="2"/>
      <c r="F14" s="9">
        <f t="shared" si="2"/>
        <v>0</v>
      </c>
      <c r="H14" s="43" t="s">
        <v>170</v>
      </c>
      <c r="I14" s="24">
        <v>15</v>
      </c>
      <c r="J14" s="100"/>
      <c r="K14" s="25">
        <f t="shared" si="1"/>
        <v>15</v>
      </c>
      <c r="L14" s="37"/>
      <c r="M14" s="38">
        <f t="shared" si="0"/>
        <v>0</v>
      </c>
      <c r="N14" s="14"/>
      <c r="O14" s="2" t="s">
        <v>79</v>
      </c>
      <c r="P14" s="110">
        <f>B18+B64+B110+B156+B202+B248+B294+B340+B386+B432+B478+B524+B570+B616+B662+B708+B754+B800+B846+B892+B938+B984+B1030+B1076+B1122+B1168+B1214+B1260+B1306+B1352+B1398+B1444+B1490+B1536+B1582</f>
        <v>15</v>
      </c>
      <c r="Q14" s="26">
        <f>D18+D64+D110+D156+D202+D248+D294+D340+D386+D432+D478+D524+D570+D616+D662+D708+D754+D800+D846+D892+D938+D984+D1030+D1076+D1122+D1168+D1214+D1260+D1306+D1352+D1398+D1444+D1490+D1536+D1582</f>
        <v>0</v>
      </c>
      <c r="R14" s="36">
        <f>P14-Q14</f>
        <v>15</v>
      </c>
    </row>
    <row r="15" spans="1:20" x14ac:dyDescent="0.2">
      <c r="B15" s="83"/>
      <c r="C15" s="35" t="s">
        <v>123</v>
      </c>
      <c r="D15" s="45"/>
      <c r="E15" s="2"/>
      <c r="F15" s="9">
        <f>(B15-D15) *E15</f>
        <v>0</v>
      </c>
      <c r="H15" s="44" t="s">
        <v>145</v>
      </c>
      <c r="I15" s="71">
        <v>20</v>
      </c>
      <c r="J15" s="72"/>
      <c r="K15" s="73">
        <f t="shared" si="1"/>
        <v>19</v>
      </c>
      <c r="L15" s="72">
        <v>1</v>
      </c>
      <c r="M15" s="74">
        <f t="shared" si="0"/>
        <v>0</v>
      </c>
      <c r="N15" s="75"/>
      <c r="O15" s="2" t="s">
        <v>145</v>
      </c>
      <c r="P15" s="111">
        <f>B19+B65+B111+B157+B203+B249+B295+B341+B387+B433+B479+B525+B571+B617+B663+B709+B755+B801+B847+B893+B939+B985+B1031+B1077+B1123+B1169+B1215+B1261+B1307+B1353+B1399+B1445+B1491+B1537+B1583</f>
        <v>20</v>
      </c>
      <c r="Q15" s="76">
        <f>D19+D65+D111+D157+D203+D249+D295+D341+D387+D433+D479+D525+D571+D617+D663+D709+D755+D801+D847+D893+D939+D985+D1031+D1077+D1123+D1169+D1215+D1261+D1307+D1353+D1399+D1445+D1491+D1537+D1583</f>
        <v>1</v>
      </c>
      <c r="R15" s="77">
        <f>P15-Q15</f>
        <v>19</v>
      </c>
    </row>
    <row r="16" spans="1:20" x14ac:dyDescent="0.2">
      <c r="B16" s="83"/>
      <c r="C16" s="1" t="s">
        <v>202</v>
      </c>
      <c r="D16" s="45"/>
      <c r="E16" s="2"/>
      <c r="F16" s="9">
        <f t="shared" si="2"/>
        <v>0</v>
      </c>
      <c r="H16" s="51" t="s">
        <v>152</v>
      </c>
      <c r="I16" s="24"/>
      <c r="J16" s="37"/>
      <c r="K16" s="25">
        <f t="shared" ref="K16:K39" si="3">R16</f>
        <v>0</v>
      </c>
      <c r="L16" s="37"/>
      <c r="M16" s="38">
        <f t="shared" ref="M16:M39" si="4">(I16+J16) -(K16+L16)</f>
        <v>0</v>
      </c>
      <c r="N16" s="14"/>
      <c r="O16" s="2" t="s">
        <v>140</v>
      </c>
      <c r="P16" s="110">
        <f>B20+B66+B112+B158+B204+B250+B296+B342+B388+B434+B480+B526+B572+B618+B664+B710+B756+B802+B848+B894+B940+B986+B1032+B1078+B1124+B1170+B1216+B1262+B1308+B1354+B1400+B1446+B1492+B1538+B1584</f>
        <v>0</v>
      </c>
      <c r="Q16" s="26">
        <f>D20+D66+D112+D158+D204+D250+D296+D342+D388+D434+D480+D526+D572+D618+D664+D710+D756+D802+D848+D894+D940+D986+D1032+D1078+D1124+D1170+D1216+D1262+D1308+D1354+D1400+D1446+D1492+D1538+D1584</f>
        <v>0</v>
      </c>
      <c r="R16" s="36">
        <f>P16-Q16</f>
        <v>0</v>
      </c>
    </row>
    <row r="17" spans="2:18" x14ac:dyDescent="0.2">
      <c r="B17" s="83">
        <v>200</v>
      </c>
      <c r="C17" s="56" t="s">
        <v>74</v>
      </c>
      <c r="D17" s="45"/>
      <c r="E17" s="2">
        <v>3700</v>
      </c>
      <c r="F17" s="9">
        <f t="shared" si="2"/>
        <v>740000</v>
      </c>
      <c r="H17" s="44" t="s">
        <v>194</v>
      </c>
      <c r="I17" s="24">
        <v>3</v>
      </c>
      <c r="J17" s="37"/>
      <c r="K17" s="101">
        <f t="shared" si="3"/>
        <v>2</v>
      </c>
      <c r="L17" s="24"/>
      <c r="M17" s="102">
        <f t="shared" si="4"/>
        <v>1</v>
      </c>
      <c r="N17" s="14"/>
      <c r="O17" s="2" t="s">
        <v>138</v>
      </c>
      <c r="P17" s="110">
        <f>B21+B67+B113+B159+B205+B251+B297+B343+B389+B435+B481+B527+B573+B619+B665+B711+B757+B803+B849+B895+B941+B987+B1033+B1079+B1125+B1171+B1217+B1263+B1309+B1355+B1401+B1447+B1493+B1539+B1585</f>
        <v>2</v>
      </c>
      <c r="Q17" s="26">
        <f>D21+D67+D113+D159+D205+D251+D297+D343+D389+D435+D481+D527+D573+D619+D665+D711+D757+D803+D849+D895+D941+D987+D1033+D1079+D1125+D1171+D1217+D1263+D1309+D1355+D1401+D1447+D1493+D1539+D1585</f>
        <v>0</v>
      </c>
      <c r="R17" s="26">
        <f>P17-Q17</f>
        <v>2</v>
      </c>
    </row>
    <row r="18" spans="2:18" x14ac:dyDescent="0.2">
      <c r="B18" s="83"/>
      <c r="C18" s="2" t="s">
        <v>79</v>
      </c>
      <c r="D18" s="45"/>
      <c r="E18" s="2">
        <v>4500</v>
      </c>
      <c r="F18" s="9">
        <f t="shared" si="2"/>
        <v>0</v>
      </c>
      <c r="H18" s="44" t="s">
        <v>174</v>
      </c>
      <c r="I18" s="24">
        <v>305</v>
      </c>
      <c r="J18" s="37"/>
      <c r="K18" s="101">
        <f>R18</f>
        <v>305</v>
      </c>
      <c r="L18" s="24"/>
      <c r="M18" s="102">
        <f t="shared" si="4"/>
        <v>0</v>
      </c>
      <c r="N18" s="14"/>
      <c r="O18" s="2" t="s">
        <v>156</v>
      </c>
      <c r="P18" s="110">
        <f>B22+B68+B114+B160+B206+B252+B298+B344+B390+B436+B482+B528+B574+B620+B666+B712+B758+B804+B850+B896+B942+B988+B1034+B1080+B1126+B1172+B1218+B1264+B1310+B1356+B1402+B1448+B1494+B1540+B1586</f>
        <v>305</v>
      </c>
      <c r="Q18" s="26">
        <f>D22+D68+D114+D160+D206+D252+D298+D344+D390+D436+D482+D528+D574+D620+D666+D712+D758+D804+D850+D896+D942+D988+D1034+D1080+D1126+D1172+D1218+D1264+D1310+D1356+D1402+D1448+D1494+D1540+D1586</f>
        <v>0</v>
      </c>
      <c r="R18" s="26">
        <f>P18-Q18</f>
        <v>305</v>
      </c>
    </row>
    <row r="19" spans="2:18" x14ac:dyDescent="0.2">
      <c r="B19" s="83"/>
      <c r="C19" s="122" t="s">
        <v>145</v>
      </c>
      <c r="D19" s="130"/>
      <c r="E19" s="122">
        <v>3700</v>
      </c>
      <c r="F19" s="9">
        <f t="shared" si="2"/>
        <v>0</v>
      </c>
      <c r="H19" s="43" t="s">
        <v>175</v>
      </c>
      <c r="I19" s="47">
        <v>58</v>
      </c>
      <c r="J19" s="37"/>
      <c r="K19" s="101">
        <f t="shared" si="3"/>
        <v>52</v>
      </c>
      <c r="L19" s="24"/>
      <c r="M19" s="102">
        <f t="shared" si="4"/>
        <v>6</v>
      </c>
      <c r="N19" s="14"/>
      <c r="O19" s="2" t="s">
        <v>135</v>
      </c>
      <c r="P19" s="110">
        <f>B23+B69+B115+B161+B207+B253+B299+B345+B391+B437+B483+B529+B575+B621+B667+B713+B759+B805+B851+B897+B943+B989+B1035+B1081+B1127+B1173+B1219+B1265+B1311+B1357+B1403+B1449+B1495+B1541+B1587</f>
        <v>52</v>
      </c>
      <c r="Q19" s="26">
        <f>D23+D69+D115+D161+D207+D253+D299+D345+D391+D437+D483+D529+D575+D621+D667+D713+D759+D805+D851+D897+D943+D989+D1035+D1081+D1127+D1173+D1219+D1265+D1311+D1357+D1403+D1449+D1495+D1541+D1587</f>
        <v>0</v>
      </c>
      <c r="R19" s="26">
        <f>P19-Q19</f>
        <v>52</v>
      </c>
    </row>
    <row r="20" spans="2:18" x14ac:dyDescent="0.2">
      <c r="B20" s="83"/>
      <c r="C20" s="2" t="s">
        <v>152</v>
      </c>
      <c r="D20" s="60"/>
      <c r="E20" s="2">
        <v>54000</v>
      </c>
      <c r="F20" s="131">
        <f t="shared" si="2"/>
        <v>0</v>
      </c>
      <c r="H20" s="43" t="s">
        <v>177</v>
      </c>
      <c r="I20" s="37"/>
      <c r="J20" s="37"/>
      <c r="K20" s="101">
        <f t="shared" si="3"/>
        <v>0</v>
      </c>
      <c r="L20" s="37"/>
      <c r="M20" s="102">
        <f t="shared" si="4"/>
        <v>0</v>
      </c>
      <c r="N20" s="14"/>
      <c r="O20" s="2" t="s">
        <v>134</v>
      </c>
      <c r="P20" s="110">
        <f>B24+B70+B116+B162+B208+B254+B300+B346+B392+B438+B484+B530+B576+B622+B668+B714+B760+B806+B852+B898+B944+B990+B1036+B1082+B1128+B1174+B1220+B1266+B1312+B1358+B1404+B1450+B1496+B1542+B1588</f>
        <v>0</v>
      </c>
      <c r="Q20" s="26">
        <f>D24+D70+D116+D162+D208+D254+D300+D346+D392+D438+D484+D530+D576+D622+D668+D714+D760+D806+D852+D898+D944+D990+D1036+D1082+D1128+D1174+D1220+D1266+D1312+D1358+D1404+D1450+D1496+D1542+D1588</f>
        <v>0</v>
      </c>
      <c r="R20" s="26">
        <f>P20-Q20</f>
        <v>0</v>
      </c>
    </row>
    <row r="21" spans="2:18" x14ac:dyDescent="0.2">
      <c r="B21" s="83"/>
      <c r="C21" s="2" t="s">
        <v>166</v>
      </c>
      <c r="D21" s="60"/>
      <c r="E21" s="2"/>
      <c r="F21" s="131">
        <f t="shared" si="2"/>
        <v>0</v>
      </c>
      <c r="H21" s="43" t="s">
        <v>142</v>
      </c>
      <c r="I21" s="37">
        <v>10.5</v>
      </c>
      <c r="J21" s="37"/>
      <c r="K21" s="101">
        <f t="shared" si="3"/>
        <v>10.5</v>
      </c>
      <c r="L21" s="37"/>
      <c r="M21" s="102">
        <f t="shared" si="4"/>
        <v>0</v>
      </c>
      <c r="N21" s="14"/>
      <c r="O21" s="2" t="s">
        <v>142</v>
      </c>
      <c r="P21" s="110">
        <f>B25+B71+B117+B163+B209+B255+B301+B347+B393+B439+B485+B531+B577+B623+B669+B715+B761+B807+B853+B899+B945+B991+B1037+B1083+B1129+B1175+B1221+B1267+B1313+B1359+B1405+B1451+B1497+B1543+B1589</f>
        <v>10.5</v>
      </c>
      <c r="Q21" s="26">
        <f>D25+D71+D117+D163+D209+D255+D301+D347+D393+D439+D485+D531+D577+D623+D669+D715+D761+D807+D853+D899+D945+D991+D1037+D1083+D1129+D1175+D1221+D1267+D1313+D1359+D1405+D1451+D1497+D1543+D1589</f>
        <v>0</v>
      </c>
      <c r="R21" s="26">
        <f>P21-Q21</f>
        <v>10.5</v>
      </c>
    </row>
    <row r="22" spans="2:18" x14ac:dyDescent="0.2">
      <c r="B22" s="83">
        <v>150</v>
      </c>
      <c r="C22" s="2" t="s">
        <v>174</v>
      </c>
      <c r="D22" s="60"/>
      <c r="E22" s="2">
        <v>4600</v>
      </c>
      <c r="F22" s="131">
        <f t="shared" si="2"/>
        <v>690000</v>
      </c>
      <c r="H22" s="44" t="s">
        <v>164</v>
      </c>
      <c r="I22" s="37">
        <v>40</v>
      </c>
      <c r="J22" s="37"/>
      <c r="K22" s="101">
        <f t="shared" si="3"/>
        <v>40</v>
      </c>
      <c r="L22" s="37"/>
      <c r="M22" s="102">
        <f t="shared" si="4"/>
        <v>0</v>
      </c>
      <c r="N22" s="14"/>
      <c r="O22" s="2" t="s">
        <v>150</v>
      </c>
      <c r="P22" s="110">
        <f>B26+B72+B118+B164+B210+B256+B302+B348+B394+B440+B486+B532+B578+B624+B670+B716+B762+B808+B854+B900+B946+B992+B1038+B1084+B1130+B1176+B1222+B1268+B1314+B1360+B1406+B1452+B1498+B1544+B1590</f>
        <v>40</v>
      </c>
      <c r="Q22" s="26">
        <f>D26+D72+D118+D164+D210+D256+D302+D348+D394+D440+D486+D532+D578+D624+D670+D716+D762+D808+D854+D900+D946+D992+D1038+D1084+D1130+D1176+D1222+D1268+D1314+D1360+D1406+D1452+D1498+D1544+D1590</f>
        <v>0</v>
      </c>
      <c r="R22" s="26">
        <f>P22-Q22</f>
        <v>40</v>
      </c>
    </row>
    <row r="23" spans="2:18" x14ac:dyDescent="0.2">
      <c r="B23" s="83"/>
      <c r="C23" s="2" t="s">
        <v>175</v>
      </c>
      <c r="D23" s="60"/>
      <c r="E23" s="2">
        <v>23500</v>
      </c>
      <c r="F23" s="131">
        <f t="shared" si="2"/>
        <v>0</v>
      </c>
      <c r="H23" s="44" t="s">
        <v>121</v>
      </c>
      <c r="I23" s="37">
        <v>4.5</v>
      </c>
      <c r="J23" s="37"/>
      <c r="K23" s="101">
        <f t="shared" si="3"/>
        <v>3.5</v>
      </c>
      <c r="L23" s="37"/>
      <c r="M23" s="102">
        <f t="shared" si="4"/>
        <v>1</v>
      </c>
      <c r="N23" s="14"/>
      <c r="O23" s="2" t="s">
        <v>121</v>
      </c>
      <c r="P23" s="110">
        <f>B27+B73+B119+B165+B211+B257+B303+B349+B395+B441+B487+B533+B579+B625+B671+B717+B763+B809+B855+B901+B947+B993+B1039+B1085+B1131+B1177+B1223+B1269+B1315+B1361+B1407+B1453+B1499+B1545+B1591</f>
        <v>3.5</v>
      </c>
      <c r="Q23" s="26">
        <f>D27+D73+D119+D165+D211+D257+D303+D349+D395+D441+D487+D533+D579+D625+D671+D717+D763+D809+D855+D901+D947+D993+D1039+D1085+D1131+D1177+D1223+D1269+D1315+D1361+D1407+D1453+D1499+D1545+D1591</f>
        <v>0</v>
      </c>
      <c r="R23" s="26">
        <f>P23-Q23</f>
        <v>3.5</v>
      </c>
    </row>
    <row r="24" spans="2:18" x14ac:dyDescent="0.2">
      <c r="B24" s="83"/>
      <c r="C24" s="2" t="s">
        <v>172</v>
      </c>
      <c r="D24" s="60"/>
      <c r="E24" s="2">
        <v>180000</v>
      </c>
      <c r="F24" s="131">
        <f t="shared" si="2"/>
        <v>0</v>
      </c>
      <c r="H24" s="44" t="s">
        <v>122</v>
      </c>
      <c r="I24" s="37">
        <v>0.5</v>
      </c>
      <c r="J24" s="37"/>
      <c r="K24" s="101">
        <f t="shared" si="3"/>
        <v>0.5</v>
      </c>
      <c r="L24" s="37"/>
      <c r="M24" s="102">
        <f t="shared" si="4"/>
        <v>0</v>
      </c>
      <c r="N24" s="14"/>
      <c r="O24" s="122" t="s">
        <v>122</v>
      </c>
      <c r="P24" s="110">
        <f>B28+B74+B120+B166+B212+B258+B304+B350+B396+B442+B488+B534+B580+B626+B672+B718+B764+B810+B856+B902+B948+B994+B1040+B1086+B1132+B1178+B1224+B1270+B1316+B1362+B1408+B1454+B1500+B1546+B1592</f>
        <v>0.5</v>
      </c>
      <c r="Q24" s="26">
        <f>D28+D74+D120+D166+D212+D258+D304+D350+D396+D442+D488+D534+D580+D626+D672+D718+D764+D810+D856+D902+D948+D994+D1040+D1086+D1132+D1178+D1224+D1270+D1316+D1362+D1408+D1454+D1500+D1546+D1592</f>
        <v>0</v>
      </c>
      <c r="R24" s="26">
        <f>P24-Q24</f>
        <v>0.5</v>
      </c>
    </row>
    <row r="25" spans="2:18" x14ac:dyDescent="0.2">
      <c r="B25" s="83"/>
      <c r="C25" s="56" t="s">
        <v>142</v>
      </c>
      <c r="D25" s="80"/>
      <c r="E25" s="56">
        <v>173000</v>
      </c>
      <c r="F25" s="9">
        <f t="shared" si="2"/>
        <v>0</v>
      </c>
      <c r="H25" s="44" t="s">
        <v>143</v>
      </c>
      <c r="I25" s="37">
        <v>2</v>
      </c>
      <c r="J25" s="37"/>
      <c r="K25" s="101">
        <f t="shared" si="3"/>
        <v>2</v>
      </c>
      <c r="L25" s="37"/>
      <c r="M25" s="102">
        <f t="shared" si="4"/>
        <v>0</v>
      </c>
      <c r="N25" s="14"/>
      <c r="O25" s="2" t="s">
        <v>143</v>
      </c>
      <c r="P25" s="110">
        <f>B29+B75+B121+B167+B213+B259+B305+B351+B397+B443+B489+B535+B581+B627+B673+B719+B765+B811+B857+B903+B949+B995+B1041+B1087+B1133+B1179+B1225+B1271+B1317+B1363+B1409+B1455+B1501+B1547+B1593</f>
        <v>2</v>
      </c>
      <c r="Q25" s="26">
        <f>D29+D75+D121+D167+D213+D259+D305+D351+D397+D443+D489+D535+D581+D627+D673+D719+D765+D811+D857+D903+D949+D995+D1041+D1087+D1133+D1179+D1225+D1271+D1317+D1363+D1409+D1455+D1501+D1547+D1593</f>
        <v>0</v>
      </c>
      <c r="R25" s="26">
        <f>P25-Q25</f>
        <v>2</v>
      </c>
    </row>
    <row r="26" spans="2:18" x14ac:dyDescent="0.2">
      <c r="B26" s="83"/>
      <c r="C26" s="2" t="s">
        <v>146</v>
      </c>
      <c r="D26" s="45"/>
      <c r="E26" s="2">
        <v>9000</v>
      </c>
      <c r="F26" s="9">
        <f t="shared" si="2"/>
        <v>0</v>
      </c>
      <c r="H26" s="44" t="s">
        <v>126</v>
      </c>
      <c r="I26" s="37"/>
      <c r="J26" s="37"/>
      <c r="K26" s="101">
        <f t="shared" si="3"/>
        <v>0</v>
      </c>
      <c r="L26" s="37"/>
      <c r="M26" s="102">
        <f t="shared" si="4"/>
        <v>0</v>
      </c>
      <c r="N26" s="14"/>
      <c r="O26" s="2" t="s">
        <v>126</v>
      </c>
      <c r="P26" s="110">
        <f>B30+B76+B122+B168+B214+B260+B306+B352+B398+B444+B490+B536+B582+B628+B674+B720+B766+B812+B858+B904+B950+B996+B1042+B1088+B1134+B1180+B1226+B1272+B1318+B1364+B1410+B1456+B1502+B1548+B1594</f>
        <v>0</v>
      </c>
      <c r="Q26" s="26">
        <f>D30+D76+D122+D168+D214+D260+D306+D352+D398+D444+D490+D536+D582+D628+D674+D720+D766+D812+D858+D904+D950+D996+D1042+D1088+D1134+D1180+D1226+D1272+D1318+D1364+D1410+D1456+D1502+D1548+D1594</f>
        <v>0</v>
      </c>
      <c r="R26" s="26">
        <f>P26-Q26</f>
        <v>0</v>
      </c>
    </row>
    <row r="27" spans="2:18" x14ac:dyDescent="0.2">
      <c r="B27" s="83"/>
      <c r="C27" s="2" t="s">
        <v>121</v>
      </c>
      <c r="D27" s="45"/>
      <c r="E27" s="2">
        <v>185000</v>
      </c>
      <c r="F27" s="9">
        <f t="shared" si="2"/>
        <v>0</v>
      </c>
      <c r="H27" s="44" t="s">
        <v>153</v>
      </c>
      <c r="I27" s="37">
        <v>7.5</v>
      </c>
      <c r="J27" s="121"/>
      <c r="K27" s="101">
        <f>R27</f>
        <v>6.5</v>
      </c>
      <c r="L27" s="37"/>
      <c r="M27" s="102">
        <f t="shared" si="4"/>
        <v>1</v>
      </c>
      <c r="N27" s="14"/>
      <c r="O27" s="2" t="s">
        <v>153</v>
      </c>
      <c r="P27" s="110">
        <f>B31+B77+B123+B169+B215+B261+B307+B353+B399+B445+B491+B537+B583+B629+B675+B721+B767+B813+B859+B905+B951+B997+B1043+B1089+B1135+B1181+B1227+B1273+B1319+B1365+B1411+B1457+B1503+B1549+B1595</f>
        <v>6.5</v>
      </c>
      <c r="Q27" s="26">
        <f>D31+D77+D123+D169+D215+D261+D307+D353+D399+D445+D491+D537+D583+D629+D675+D721+D767+D813+D859+D905+D951+D997+D1043+D1089+D1135+D1181+D1227+D1273+D1319+D1365+D1411+D1457+D1503+D1549+D1595</f>
        <v>0</v>
      </c>
      <c r="R27" s="26">
        <f>P27-Q27</f>
        <v>6.5</v>
      </c>
    </row>
    <row r="28" spans="2:18" x14ac:dyDescent="0.2">
      <c r="B28" s="83"/>
      <c r="C28" s="2" t="s">
        <v>122</v>
      </c>
      <c r="D28" s="45"/>
      <c r="E28" s="2">
        <v>184000</v>
      </c>
      <c r="F28" s="9">
        <f t="shared" si="2"/>
        <v>0</v>
      </c>
      <c r="H28" s="44" t="s">
        <v>185</v>
      </c>
      <c r="I28" s="37">
        <v>100</v>
      </c>
      <c r="J28" s="37"/>
      <c r="K28" s="101">
        <f t="shared" si="3"/>
        <v>100</v>
      </c>
      <c r="L28" s="37"/>
      <c r="M28" s="102">
        <f t="shared" si="4"/>
        <v>0</v>
      </c>
      <c r="N28" s="14"/>
      <c r="O28" s="2" t="s">
        <v>141</v>
      </c>
      <c r="P28" s="110">
        <f>B32+B78+B124+B170+B216+B262+B308+B354+B400+B446+B492+B538+B584+B630+B676+B722+B768+B814+B860+B906+B952+B998+B1044+B1090+B1136+B1182+B1228+B1274+B1320+B1366+B1412+B1458+B1504+B1550+B1596</f>
        <v>100</v>
      </c>
      <c r="Q28" s="26">
        <f>D32+D78+D124+D170+D216+D262+D308+D354+D400+D446+D492+D538+D584+D630+D676+D722+D768+D814+D860+D906+D952+D998+D1044+D1090+D1136+D1182+D1228+D1274+D1320+D1366+D1412+D1458+D1504+D1550+D1596</f>
        <v>0</v>
      </c>
      <c r="R28" s="26">
        <f>P28-Q28</f>
        <v>100</v>
      </c>
    </row>
    <row r="29" spans="2:18" x14ac:dyDescent="0.2">
      <c r="B29" s="83"/>
      <c r="C29" s="2" t="s">
        <v>143</v>
      </c>
      <c r="D29" s="45"/>
      <c r="E29" s="2">
        <v>162000</v>
      </c>
      <c r="F29" s="9">
        <f t="shared" si="2"/>
        <v>0</v>
      </c>
      <c r="H29" s="44" t="s">
        <v>186</v>
      </c>
      <c r="I29" s="37">
        <v>60</v>
      </c>
      <c r="J29" s="37"/>
      <c r="K29" s="101">
        <f t="shared" si="3"/>
        <v>50</v>
      </c>
      <c r="L29" s="37"/>
      <c r="M29" s="115">
        <f t="shared" si="4"/>
        <v>10</v>
      </c>
      <c r="N29" s="14"/>
      <c r="O29" s="2" t="s">
        <v>144</v>
      </c>
      <c r="P29" s="110">
        <f>B33+B79+B125+B171+B217+B263+B309+B355+B401+B447+B493+B539+B585+B631+B677+B723+B769+B815+B861+B907+B953+B999+B1045+B1091+B1137+B1183+B1229+B1275+B1321+B1367+B1413+B1459+B1505+B1551+B1597</f>
        <v>50</v>
      </c>
      <c r="Q29" s="26">
        <f>D33+D79+D125+D171+D217+D263+D309+D355+D401+D447+D493+D539+D585+D631+D677+D723+D769+D815+D861+D907+D953+D999+D1045+D1091+D1137+D1183+D1229+D1275+D1321+D1367+D1413+D1459+D1505+D1551+D1597</f>
        <v>0</v>
      </c>
      <c r="R29" s="26">
        <f>P29-Q29</f>
        <v>50</v>
      </c>
    </row>
    <row r="30" spans="2:18" x14ac:dyDescent="0.2">
      <c r="B30" s="83"/>
      <c r="C30" s="2" t="s">
        <v>126</v>
      </c>
      <c r="D30" s="45"/>
      <c r="E30" s="2">
        <v>110000</v>
      </c>
      <c r="F30" s="9">
        <f t="shared" ref="F30:F33" si="5">(B30-D30) *E30</f>
        <v>0</v>
      </c>
      <c r="H30" s="44" t="s">
        <v>147</v>
      </c>
      <c r="I30" s="37">
        <v>50</v>
      </c>
      <c r="J30" s="37"/>
      <c r="K30" s="101">
        <f t="shared" si="3"/>
        <v>50</v>
      </c>
      <c r="L30" s="37"/>
      <c r="M30" s="115">
        <f t="shared" si="4"/>
        <v>0</v>
      </c>
      <c r="N30" s="79"/>
      <c r="O30" s="2" t="s">
        <v>147</v>
      </c>
      <c r="P30" s="110">
        <f>B34+B80+B126+B172+B218+B264+B310+B356+B402+B448+B494+B540+B586+B632+B678+B724+B770+B816+B862+B908+B954+B1000+B1046+B1092+B1138+B1184+B1230+B1276+B1322+B1368+B1414+B1460+B1506+B1552+B1598</f>
        <v>50</v>
      </c>
      <c r="Q30" s="26">
        <f>D34+D80+D126+D172+D218+D264+D310+D356+D402+D448+D494+D540+D586+D632+D678+D724+D770+D816+D862+D908+D954+D1000+D1046+D1092+D1138+D1184+D1230+D1276+D1322+D1368+D1414+D1460+D1506+D1552+D1598</f>
        <v>0</v>
      </c>
      <c r="R30" s="26">
        <f>P30-Q30</f>
        <v>50</v>
      </c>
    </row>
    <row r="31" spans="2:18" x14ac:dyDescent="0.2">
      <c r="B31" s="83"/>
      <c r="C31" s="2" t="s">
        <v>153</v>
      </c>
      <c r="D31" s="45"/>
      <c r="E31" s="2">
        <v>225000</v>
      </c>
      <c r="F31" s="9">
        <f t="shared" si="5"/>
        <v>0</v>
      </c>
      <c r="H31" s="44" t="s">
        <v>173</v>
      </c>
      <c r="I31" s="37">
        <v>2</v>
      </c>
      <c r="J31" s="37"/>
      <c r="K31" s="101">
        <f t="shared" si="3"/>
        <v>2</v>
      </c>
      <c r="L31" s="37"/>
      <c r="M31" s="102">
        <f t="shared" si="4"/>
        <v>0</v>
      </c>
      <c r="N31" s="79"/>
      <c r="O31" s="2" t="s">
        <v>173</v>
      </c>
      <c r="P31" s="110">
        <f>B35+B81+B127+B173+B219+B265+B311+B357+B403+B449+B495+B541+B587+B633+B679+B725+B771+B817+B863+B909+B955+B1001+B1047+B1093+B1139+B1185+B1231+B1277+B1323+B1369+B1415+B1461+B1507+B1553+B1599</f>
        <v>2</v>
      </c>
      <c r="Q31" s="26">
        <f>D35+D81+D127+D173+D219+D265+D311+D357+D403+D449+D495+D541+D587+D633+D679+D725+D771+D817+D863+D909+D955+D1001+D1047+D1093+D1139+D1185+D1231+D1277+D1323+D1369+D1415+D1461+D1507+D1553+D1599</f>
        <v>0</v>
      </c>
      <c r="R31" s="26">
        <f>P31-Q31</f>
        <v>2</v>
      </c>
    </row>
    <row r="32" spans="2:18" x14ac:dyDescent="0.2">
      <c r="B32" s="83"/>
      <c r="C32" s="2" t="s">
        <v>182</v>
      </c>
      <c r="D32" s="45"/>
      <c r="E32" s="2">
        <v>3000</v>
      </c>
      <c r="F32" s="9">
        <f t="shared" si="5"/>
        <v>0</v>
      </c>
      <c r="H32" s="44" t="s">
        <v>159</v>
      </c>
      <c r="I32" s="37"/>
      <c r="J32" s="37"/>
      <c r="K32" s="101">
        <f t="shared" si="3"/>
        <v>0</v>
      </c>
      <c r="L32" s="37"/>
      <c r="M32" s="102">
        <f t="shared" si="4"/>
        <v>0</v>
      </c>
      <c r="N32" s="79"/>
      <c r="O32" s="2" t="s">
        <v>159</v>
      </c>
      <c r="P32" s="110">
        <f>B36+B82+B128+B174+B220+B266+B312+B358+B404+B450+B496+B542+B588+B634+B680+B726+B772+B818+B864+B910+B956+B1002+B1048+B1094+B1140+B1186+B1232+B1278+B1324+B1370+B1416+B1462+B1508+B1554+B1600</f>
        <v>0</v>
      </c>
      <c r="Q32" s="26">
        <f>D36+D82+D128+D174+D220+D266+D312+D358+D404+D450+D496+D542+D588+D634+D680+D726+D772+D818+D864+D910+D956+D1002+D1048+D1094+D1140+D1186+D1232+D1278+D1324+D1370+D1416+D1462+D1508+D1554+D1600</f>
        <v>0</v>
      </c>
      <c r="R32" s="26">
        <f>P32-Q32</f>
        <v>0</v>
      </c>
    </row>
    <row r="33" spans="2:20" x14ac:dyDescent="0.2">
      <c r="B33" s="83">
        <v>50</v>
      </c>
      <c r="C33" s="2" t="s">
        <v>189</v>
      </c>
      <c r="D33" s="45"/>
      <c r="E33" s="2">
        <v>4700</v>
      </c>
      <c r="F33" s="9">
        <f t="shared" si="5"/>
        <v>235000</v>
      </c>
      <c r="H33" s="44" t="s">
        <v>148</v>
      </c>
      <c r="I33" s="37">
        <v>1.5</v>
      </c>
      <c r="J33" s="37"/>
      <c r="K33" s="101">
        <f t="shared" si="3"/>
        <v>1.5</v>
      </c>
      <c r="L33" s="37"/>
      <c r="M33" s="102">
        <f t="shared" si="4"/>
        <v>0</v>
      </c>
      <c r="N33" s="79"/>
      <c r="O33" s="2" t="s">
        <v>148</v>
      </c>
      <c r="P33" s="110">
        <f>B37+B83+B129+B175+B221+B267+B313+B359+B405+B451+B497+B543+B589+B635+B681+B727+B773+B819+B865+B911+B957+B1003+B1049+B1095+B1141+B1187+B1233+B1279+B1325+B1371+B1417+B1463+B1509+B1555+B1601</f>
        <v>1.5</v>
      </c>
      <c r="Q33" s="26">
        <f>D37+D83+D129+D175+D221+D267+D313+D359+D405+D451+D497+D543+D589+D635+D681+D727+D773+D819+D865+D911+D957+D1003+D1049+D1095+D1141+D1187+D1233+D1279+D1325+D1371+D1417+D1463+D1509+D1555+D1601</f>
        <v>0</v>
      </c>
      <c r="R33" s="26">
        <f>P33-Q33</f>
        <v>1.5</v>
      </c>
    </row>
    <row r="34" spans="2:20" ht="13.5" customHeight="1" x14ac:dyDescent="0.2">
      <c r="B34" s="83"/>
      <c r="C34" s="2" t="s">
        <v>147</v>
      </c>
      <c r="D34" s="45"/>
      <c r="E34" s="2"/>
      <c r="F34" s="9">
        <f>(B34-D34) *E34</f>
        <v>0</v>
      </c>
      <c r="H34" s="44" t="s">
        <v>196</v>
      </c>
      <c r="I34" s="37"/>
      <c r="J34" s="37"/>
      <c r="K34" s="101">
        <f t="shared" si="3"/>
        <v>6</v>
      </c>
      <c r="L34" s="37"/>
      <c r="M34" s="102">
        <f t="shared" si="4"/>
        <v>-6</v>
      </c>
      <c r="N34" s="14"/>
      <c r="O34" s="2" t="s">
        <v>176</v>
      </c>
      <c r="P34" s="110">
        <f>B38+B84+B130+B176+B222+B268+B314+B360+B406+B452+B498+B544+B590+B636+B682+B728+B774+B820+B866+B912+B958+B1004+B1050+B1096+B1142+B1188+B1234+B1280+B1326+B1372+B1418+B1464+B1510+B1556+B1602</f>
        <v>6</v>
      </c>
      <c r="Q34" s="26">
        <f>D38+D84+D130+D176+D222+D268+D314+D360+D406+D452+D498+D544+D590+D636+D682+D728+D774+D820+D866+D912+D958+D1004+D1050+D1096+D1142+D1188+D1234+D1280+D1326+D1372+D1418+D1464+D1510+D1556+D1602</f>
        <v>0</v>
      </c>
      <c r="R34" s="26">
        <f>P34-Q34</f>
        <v>6</v>
      </c>
    </row>
    <row r="35" spans="2:20" x14ac:dyDescent="0.2">
      <c r="B35" s="83">
        <v>1</v>
      </c>
      <c r="C35" s="2" t="s">
        <v>173</v>
      </c>
      <c r="D35" s="45"/>
      <c r="E35" s="2">
        <v>207000</v>
      </c>
      <c r="F35" s="9">
        <f t="shared" si="2"/>
        <v>207000</v>
      </c>
      <c r="H35" s="44" t="s">
        <v>169</v>
      </c>
      <c r="I35" s="37">
        <v>75</v>
      </c>
      <c r="J35" s="37"/>
      <c r="K35" s="101">
        <f t="shared" si="3"/>
        <v>50</v>
      </c>
      <c r="L35" s="37"/>
      <c r="M35" s="102">
        <f t="shared" si="4"/>
        <v>25</v>
      </c>
      <c r="N35" s="14"/>
      <c r="O35" s="2" t="s">
        <v>169</v>
      </c>
      <c r="P35" s="110">
        <f>B39+B85+B131+B177+B223+B269+B315+B361+B407+B453+B499+B545+B591+B637+B683+B729+B775+B821+B867+B913+B959+B1005+B1051+B1097+B1143+B1189+B1235+B1281+B1327+B1373+B1419+B1465+B1511+B1557+B1603</f>
        <v>50</v>
      </c>
      <c r="Q35" s="26">
        <f>D39+D85+D131+D177+D223+D269+D315+D361+D407+D453+D499+D545+D591+D637+D683+D729+D775+D821+D867+D913+D959+D1005+D1051+D1097+D1143+D1189+D1235+D1281+D1327+D1373+D1419+D1465+D1511+D1557+D1603</f>
        <v>0</v>
      </c>
      <c r="R35" s="26">
        <f>P35-Q35</f>
        <v>50</v>
      </c>
    </row>
    <row r="36" spans="2:20" x14ac:dyDescent="0.2">
      <c r="B36" s="83"/>
      <c r="C36" s="2" t="s">
        <v>159</v>
      </c>
      <c r="D36" s="45"/>
      <c r="E36" s="2"/>
      <c r="F36" s="9">
        <f t="shared" si="2"/>
        <v>0</v>
      </c>
      <c r="H36" s="44" t="s">
        <v>168</v>
      </c>
      <c r="I36" s="37">
        <v>50</v>
      </c>
      <c r="J36" s="37"/>
      <c r="K36" s="101">
        <f t="shared" si="3"/>
        <v>62</v>
      </c>
      <c r="L36" s="37"/>
      <c r="M36" s="102">
        <f t="shared" si="4"/>
        <v>-12</v>
      </c>
      <c r="N36" s="14"/>
      <c r="O36" s="2" t="s">
        <v>168</v>
      </c>
      <c r="P36" s="110">
        <f>B40+B86+B132+B178+B224+B270+B316+B362+B408+B454+B500+B546+B592+B638+B684+B730+B776+B822+B868+B914+B960+B1006+B1052+B1098+B1144+B1190+B1236+B1282+B1328+B1374+B1420+B1466+B1512+B1558+B1604</f>
        <v>62</v>
      </c>
      <c r="Q36" s="26">
        <f>D40+D86+D132+D178+D224+D270+D316+D362+D408+D454+D500+D546+D592+D638+D684+D730+D776+D822+D868+D914+D960+D1006+D1052+D1098+D1144+D1190+D1236+D1282+D1328+D1374+D1420+D1466+D1512+D1558+D1604</f>
        <v>0</v>
      </c>
      <c r="R36" s="26">
        <f>P36-Q36</f>
        <v>62</v>
      </c>
    </row>
    <row r="37" spans="2:20" x14ac:dyDescent="0.2">
      <c r="B37" s="83"/>
      <c r="C37" s="2" t="s">
        <v>148</v>
      </c>
      <c r="D37" s="45"/>
      <c r="E37" s="2">
        <v>220000</v>
      </c>
      <c r="F37" s="9">
        <f t="shared" si="2"/>
        <v>0</v>
      </c>
      <c r="H37" s="44" t="s">
        <v>181</v>
      </c>
      <c r="I37" s="37">
        <v>2</v>
      </c>
      <c r="J37" s="37"/>
      <c r="K37" s="101">
        <f t="shared" si="3"/>
        <v>0</v>
      </c>
      <c r="L37" s="37"/>
      <c r="M37" s="102">
        <f t="shared" si="4"/>
        <v>2</v>
      </c>
      <c r="N37" s="14"/>
      <c r="O37" s="2"/>
      <c r="P37" s="110">
        <f>B41+B87+B133+B179+B225+B271+B317+B363+B409+B455+B501+B547+B593+B639+B685+B731+B777+B823+B869+B915+B961+B1007+B1053+B1099+B1145+B1191+B1237+B1283+B1329+B1375+B1421+B1467+B1513+B1559+B1605</f>
        <v>0</v>
      </c>
      <c r="Q37" s="26">
        <f>D41+D87+D133+D179+D225+D271+D317+D363+D409+D455+D501+D547+D593+D639+D685+D731+D777+D823+D869+D915+D961+D1007+D1053+D1099+D1145+D1191+D1237+D1283+D1329+D1375+D1421+D1467+D1513+D1559+D1605</f>
        <v>0</v>
      </c>
      <c r="R37" s="26">
        <f>P37-Q37</f>
        <v>0</v>
      </c>
    </row>
    <row r="38" spans="2:20" x14ac:dyDescent="0.2">
      <c r="B38" s="83"/>
      <c r="C38" s="2"/>
      <c r="D38" s="45"/>
      <c r="E38" s="2"/>
      <c r="F38" s="9">
        <f t="shared" si="2"/>
        <v>0</v>
      </c>
      <c r="H38" s="44"/>
      <c r="I38" s="37"/>
      <c r="J38" s="37"/>
      <c r="K38" s="101">
        <f t="shared" si="3"/>
        <v>0</v>
      </c>
      <c r="L38" s="37"/>
      <c r="M38" s="102">
        <f t="shared" si="4"/>
        <v>0</v>
      </c>
      <c r="N38" s="14"/>
      <c r="O38" s="56"/>
      <c r="P38" s="82">
        <f>B42+B88+B134+B180+B226+B272+B318+B364+B410+B456+B502+B548+B594+B640+B686+B732+B778+B824+B870+B916+B962+B1008+B1054+B1100+B1146+B1192+B1238+B1284+B1330+B1376+B1422+B1468+B1514+B1560+B1606</f>
        <v>0</v>
      </c>
      <c r="Q38" s="26">
        <f>D42+D88+D134+D180+D226+D272+D318+D364+D410+D456+D502+D548+D594+D640+D686+D732+D778+D824+D870+D916+D962+D1008+D1054+D1100+D1146+D1192+D1238+D1284+D1330+D1376+D1422+D1468+D1514+D1560+D1606</f>
        <v>0</v>
      </c>
      <c r="R38" s="26">
        <f>P38-Q38</f>
        <v>0</v>
      </c>
    </row>
    <row r="39" spans="2:20" ht="15.75" thickBot="1" x14ac:dyDescent="0.25">
      <c r="B39" s="83"/>
      <c r="C39" s="2"/>
      <c r="D39" s="45"/>
      <c r="E39" s="2"/>
      <c r="F39" s="9">
        <f t="shared" si="2"/>
        <v>0</v>
      </c>
      <c r="H39" s="41"/>
      <c r="I39" s="42"/>
      <c r="J39" s="42"/>
      <c r="K39" s="108">
        <f t="shared" si="3"/>
        <v>0</v>
      </c>
      <c r="L39" s="42"/>
      <c r="M39" s="109">
        <f t="shared" si="4"/>
        <v>0</v>
      </c>
      <c r="N39" s="14"/>
      <c r="O39" s="1"/>
      <c r="P39" s="98">
        <f>B43+B89+B135+B181+B227+B273+B319+B365+B411+B457+B503+B549+B595+B641+B687+B733+B779+B825+B871+B917+B963+B1009+B1055+B1101+B1147+B1193+B1239+B1285+B1331+B1377+B1423+B1469+B1515+B1561+B1607</f>
        <v>0</v>
      </c>
      <c r="Q39" s="26">
        <f>D43+D89+D135+D181+D227+D273+D319+D365+D411+D457+D503+D549+D595+D641+D687+D733+D779+D825+D871+D917+D963+D1009+D1055+D1101+D1147+D1193+D1239+D1285+D1331+D1377+D1423+D1469+D1515+D1561+D1607</f>
        <v>0</v>
      </c>
      <c r="R39" s="26">
        <f>P39-Q39</f>
        <v>0</v>
      </c>
    </row>
    <row r="40" spans="2:20" ht="15.75" thickBot="1" x14ac:dyDescent="0.25">
      <c r="B40" s="83"/>
      <c r="C40" s="2"/>
      <c r="D40" s="45"/>
      <c r="E40" s="2"/>
      <c r="F40" s="9">
        <f t="shared" si="2"/>
        <v>0</v>
      </c>
      <c r="H40" s="203" t="s">
        <v>5</v>
      </c>
      <c r="I40" s="204"/>
      <c r="J40" s="204"/>
      <c r="K40" s="200">
        <f>H2</f>
        <v>46315</v>
      </c>
      <c r="L40" s="201"/>
      <c r="M40" s="202"/>
      <c r="N40" s="14"/>
      <c r="O40" s="103"/>
      <c r="R40" s="106"/>
    </row>
    <row r="41" spans="2:20" x14ac:dyDescent="0.2">
      <c r="B41" s="83"/>
      <c r="C41" s="56"/>
      <c r="D41" s="45"/>
      <c r="E41" s="2"/>
      <c r="F41" s="9">
        <f>(B41-D41) *E41</f>
        <v>0</v>
      </c>
      <c r="H41" s="165" t="s">
        <v>16</v>
      </c>
      <c r="I41" s="166"/>
      <c r="J41" s="167"/>
      <c r="K41" s="191">
        <f>F47+F93+F139+F185+F231+F277+F323+F369+F415+F461+F507+F553+F599+F645+F691+F737+F783+F829+F875+F921+F967+F1013+F1059+F1105+F1151+F1197+F1243+F1289+F1335+F1381+F1427+F1473+F1519+F1565+F1611</f>
        <v>13077000</v>
      </c>
      <c r="L41" s="192"/>
      <c r="M41" s="193"/>
      <c r="N41" s="14"/>
      <c r="O41" s="104" t="s">
        <v>55</v>
      </c>
      <c r="R41" s="103"/>
      <c r="T41" s="57"/>
    </row>
    <row r="42" spans="2:20" x14ac:dyDescent="0.2">
      <c r="B42" s="8"/>
      <c r="C42" s="56"/>
      <c r="D42" s="45"/>
      <c r="E42" s="2"/>
      <c r="F42" s="9">
        <f t="shared" si="2"/>
        <v>0</v>
      </c>
      <c r="H42" s="147" t="s">
        <v>17</v>
      </c>
      <c r="I42" s="148"/>
      <c r="J42" s="149"/>
      <c r="K42" s="179"/>
      <c r="L42" s="194"/>
      <c r="M42" s="195"/>
      <c r="O42" s="31" t="s">
        <v>58</v>
      </c>
    </row>
    <row r="43" spans="2:20" x14ac:dyDescent="0.2">
      <c r="B43" s="8"/>
      <c r="C43" s="46"/>
      <c r="D43" s="60"/>
      <c r="E43" s="2"/>
      <c r="F43" s="9"/>
      <c r="H43" s="147" t="s">
        <v>56</v>
      </c>
      <c r="I43" s="148"/>
      <c r="J43" s="148"/>
      <c r="K43" s="179">
        <v>30000</v>
      </c>
      <c r="L43" s="194"/>
      <c r="M43" s="195"/>
      <c r="N43" s="14"/>
      <c r="O43" t="s">
        <v>13</v>
      </c>
      <c r="P43" s="61"/>
    </row>
    <row r="44" spans="2:20" ht="15.75" thickBot="1" x14ac:dyDescent="0.25">
      <c r="B44" s="213"/>
      <c r="C44" s="214"/>
      <c r="D44" s="214"/>
      <c r="E44" s="215"/>
      <c r="F44" s="10">
        <f>SUM(F9:F43)</f>
        <v>3140750</v>
      </c>
      <c r="H44" s="147" t="s">
        <v>8</v>
      </c>
      <c r="I44" s="148"/>
      <c r="J44" s="148"/>
      <c r="K44" s="196">
        <f>(K41+K42)-K43</f>
        <v>13047000</v>
      </c>
      <c r="L44" s="196"/>
      <c r="M44" s="196"/>
      <c r="N44" s="14"/>
      <c r="O44" t="s">
        <v>14</v>
      </c>
      <c r="P44" s="23"/>
    </row>
    <row r="45" spans="2:20" x14ac:dyDescent="0.2">
      <c r="B45" s="153" t="s">
        <v>7</v>
      </c>
      <c r="C45" s="154"/>
      <c r="D45" s="154"/>
      <c r="E45" s="154"/>
      <c r="F45" s="123"/>
      <c r="H45" s="147" t="s">
        <v>57</v>
      </c>
      <c r="I45" s="148"/>
      <c r="J45" s="149"/>
      <c r="K45" s="168"/>
      <c r="L45" s="169"/>
      <c r="M45" s="170"/>
      <c r="N45" s="14"/>
      <c r="O45" t="s">
        <v>15</v>
      </c>
      <c r="P45" s="23"/>
    </row>
    <row r="46" spans="2:20" x14ac:dyDescent="0.2">
      <c r="B46" s="147" t="s">
        <v>8</v>
      </c>
      <c r="C46" s="148"/>
      <c r="D46" s="148"/>
      <c r="E46" s="148"/>
      <c r="F46" s="28">
        <f>F45+F44</f>
        <v>3140750</v>
      </c>
      <c r="H46" s="189" t="s">
        <v>10</v>
      </c>
      <c r="I46" s="190"/>
      <c r="J46" s="190"/>
      <c r="K46" s="197">
        <f>K44-K45</f>
        <v>13047000</v>
      </c>
      <c r="L46" s="198"/>
      <c r="M46" s="199"/>
      <c r="N46" s="14"/>
      <c r="O46" t="s">
        <v>120</v>
      </c>
      <c r="P46" s="63"/>
    </row>
    <row r="47" spans="2:20" ht="15.75" thickBot="1" x14ac:dyDescent="0.25">
      <c r="B47" s="147" t="s">
        <v>9</v>
      </c>
      <c r="C47" s="148"/>
      <c r="D47" s="148"/>
      <c r="E47" s="148"/>
      <c r="F47" s="90">
        <v>3140000</v>
      </c>
      <c r="H47" s="171" t="s">
        <v>52</v>
      </c>
      <c r="I47" s="171"/>
      <c r="J47" s="171"/>
      <c r="K47" s="168"/>
      <c r="L47" s="169"/>
      <c r="M47" s="170"/>
      <c r="N47" s="14"/>
      <c r="O47" t="s">
        <v>124</v>
      </c>
      <c r="P47" s="23"/>
    </row>
    <row r="48" spans="2:20" ht="15.75" thickBot="1" x14ac:dyDescent="0.25">
      <c r="B48" s="150" t="s">
        <v>10</v>
      </c>
      <c r="C48" s="151"/>
      <c r="D48" s="151"/>
      <c r="E48" s="151"/>
      <c r="F48" s="12">
        <f>F47-F46</f>
        <v>-750</v>
      </c>
      <c r="H48" s="49" t="s">
        <v>50</v>
      </c>
      <c r="I48" s="172" t="s">
        <v>24</v>
      </c>
      <c r="J48" s="173"/>
      <c r="K48" s="174" t="s">
        <v>111</v>
      </c>
      <c r="L48" s="175"/>
      <c r="M48" s="176"/>
      <c r="N48" s="14"/>
      <c r="O48" t="s">
        <v>125</v>
      </c>
      <c r="P48" s="23"/>
    </row>
    <row r="49" spans="1:16" ht="15.75" thickBot="1" x14ac:dyDescent="0.25">
      <c r="H49" s="48">
        <v>1</v>
      </c>
      <c r="I49" s="205" t="str">
        <f>C5</f>
        <v>Mb sri</v>
      </c>
      <c r="J49" s="154"/>
      <c r="K49" s="221">
        <f>F48</f>
        <v>-750</v>
      </c>
      <c r="L49" s="222"/>
      <c r="M49" s="223"/>
      <c r="N49" s="14"/>
      <c r="O49" t="s">
        <v>60</v>
      </c>
      <c r="P49" s="23"/>
    </row>
    <row r="50" spans="1:16" ht="17.25" customHeight="1" x14ac:dyDescent="0.2">
      <c r="A50" s="27" t="s">
        <v>26</v>
      </c>
      <c r="B50" s="6" t="s">
        <v>2</v>
      </c>
      <c r="C50" s="156">
        <f>C4</f>
        <v>46315</v>
      </c>
      <c r="D50" s="157"/>
      <c r="E50" s="157"/>
      <c r="F50" s="158"/>
      <c r="H50" s="8">
        <v>2</v>
      </c>
      <c r="I50" s="183" t="str">
        <f>C51</f>
        <v>Mb Kom</v>
      </c>
      <c r="J50" s="149"/>
      <c r="K50" s="180">
        <f>F94</f>
        <v>3768250</v>
      </c>
      <c r="L50" s="184"/>
      <c r="M50" s="185"/>
      <c r="N50" s="14"/>
      <c r="O50" t="s">
        <v>61</v>
      </c>
      <c r="P50" s="23"/>
    </row>
    <row r="51" spans="1:16" ht="15" customHeight="1" x14ac:dyDescent="0.2">
      <c r="B51" s="7" t="s">
        <v>0</v>
      </c>
      <c r="C51" s="142" t="s">
        <v>90</v>
      </c>
      <c r="D51" s="142"/>
      <c r="E51" s="142"/>
      <c r="F51" s="143"/>
      <c r="H51" s="8">
        <v>3</v>
      </c>
      <c r="I51" s="183" t="str">
        <f>C97</f>
        <v>Mb sabar</v>
      </c>
      <c r="J51" s="149"/>
      <c r="K51" s="180">
        <f>F140</f>
        <v>-119500</v>
      </c>
      <c r="L51" s="184"/>
      <c r="M51" s="185"/>
      <c r="N51" s="14"/>
      <c r="O51" t="s">
        <v>71</v>
      </c>
      <c r="P51" s="23"/>
    </row>
    <row r="52" spans="1:16" ht="13.5" customHeight="1" x14ac:dyDescent="0.2">
      <c r="B52" s="7" t="s">
        <v>1</v>
      </c>
      <c r="C52" s="142" t="s">
        <v>54</v>
      </c>
      <c r="D52" s="142"/>
      <c r="E52" s="142"/>
      <c r="F52" s="143"/>
      <c r="H52" s="8">
        <v>4</v>
      </c>
      <c r="I52" s="183" t="str">
        <f>C143</f>
        <v>P Ribut</v>
      </c>
      <c r="J52" s="149"/>
      <c r="K52" s="180">
        <f>F186</f>
        <v>-50000</v>
      </c>
      <c r="L52" s="184"/>
      <c r="M52" s="185"/>
      <c r="N52" s="14"/>
      <c r="O52" t="s">
        <v>113</v>
      </c>
      <c r="P52" s="63"/>
    </row>
    <row r="53" spans="1:16" ht="15.75" thickBot="1" x14ac:dyDescent="0.25">
      <c r="B53" s="7"/>
      <c r="C53" s="162"/>
      <c r="D53" s="162"/>
      <c r="E53" s="162"/>
      <c r="F53" s="163"/>
      <c r="H53" s="8">
        <v>5</v>
      </c>
      <c r="I53" s="183" t="str">
        <f>C189</f>
        <v>Mb Reni</v>
      </c>
      <c r="J53" s="149"/>
      <c r="K53" s="180">
        <f>F232</f>
        <v>-500</v>
      </c>
      <c r="L53" s="181"/>
      <c r="M53" s="182"/>
      <c r="N53" s="14"/>
      <c r="P53" s="23"/>
    </row>
    <row r="54" spans="1:16" x14ac:dyDescent="0.2">
      <c r="B54" s="89" t="s">
        <v>108</v>
      </c>
      <c r="C54" s="21" t="s">
        <v>3</v>
      </c>
      <c r="D54" s="4" t="s">
        <v>20</v>
      </c>
      <c r="E54" s="2" t="s">
        <v>109</v>
      </c>
      <c r="F54" s="5" t="s">
        <v>107</v>
      </c>
      <c r="H54" s="8">
        <v>6</v>
      </c>
      <c r="I54" s="183" t="str">
        <f>C235</f>
        <v>P syarib</v>
      </c>
      <c r="J54" s="149"/>
      <c r="K54" s="180">
        <f>F278</f>
        <v>-8522000</v>
      </c>
      <c r="L54" s="181"/>
      <c r="M54" s="182"/>
      <c r="N54" s="14"/>
      <c r="O54" s="29" t="s">
        <v>68</v>
      </c>
      <c r="P54" s="30"/>
    </row>
    <row r="55" spans="1:16" x14ac:dyDescent="0.2">
      <c r="B55" s="8">
        <v>100</v>
      </c>
      <c r="C55" s="1" t="s">
        <v>67</v>
      </c>
      <c r="D55" s="45"/>
      <c r="E55" s="2">
        <v>3750</v>
      </c>
      <c r="F55" s="9">
        <f>(B55-D55) *E55</f>
        <v>375000</v>
      </c>
      <c r="H55" s="8">
        <v>7</v>
      </c>
      <c r="I55" s="183" t="str">
        <f>C281</f>
        <v>P roti</v>
      </c>
      <c r="J55" s="149"/>
      <c r="K55" s="180">
        <f>F324</f>
        <v>-300000</v>
      </c>
      <c r="L55" s="181"/>
      <c r="M55" s="182"/>
      <c r="N55" s="14"/>
      <c r="O55" s="31" t="s">
        <v>66</v>
      </c>
      <c r="P55" s="32"/>
    </row>
    <row r="56" spans="1:16" x14ac:dyDescent="0.2">
      <c r="B56" s="8">
        <v>15</v>
      </c>
      <c r="C56" s="1" t="s">
        <v>14</v>
      </c>
      <c r="D56" s="45"/>
      <c r="E56" s="2">
        <v>9250</v>
      </c>
      <c r="F56" s="9">
        <f t="shared" ref="F56:F87" si="6">(B56-D56) *E56</f>
        <v>138750</v>
      </c>
      <c r="H56" s="8">
        <v>8</v>
      </c>
      <c r="I56" s="183" t="str">
        <f>C327</f>
        <v>Mb Sipar</v>
      </c>
      <c r="J56" s="149"/>
      <c r="K56" s="180">
        <f>F370</f>
        <v>-777750</v>
      </c>
      <c r="L56" s="181"/>
      <c r="M56" s="182"/>
      <c r="N56" s="14"/>
      <c r="O56" s="65" t="s">
        <v>67</v>
      </c>
      <c r="P56" s="64"/>
    </row>
    <row r="57" spans="1:16" x14ac:dyDescent="0.2">
      <c r="B57" s="117">
        <v>50</v>
      </c>
      <c r="C57" s="1" t="s">
        <v>15</v>
      </c>
      <c r="D57" s="45"/>
      <c r="E57" s="2">
        <v>4750</v>
      </c>
      <c r="F57" s="9">
        <f t="shared" si="6"/>
        <v>237500</v>
      </c>
      <c r="H57" s="8">
        <v>9</v>
      </c>
      <c r="I57" s="183" t="str">
        <f>C373</f>
        <v>Mb Tutik</v>
      </c>
      <c r="J57" s="149"/>
      <c r="K57" s="180">
        <f>F416</f>
        <v>-925400</v>
      </c>
      <c r="L57" s="181"/>
      <c r="M57" s="182"/>
      <c r="N57" s="14"/>
      <c r="O57" s="65" t="s">
        <v>64</v>
      </c>
      <c r="P57" s="64"/>
    </row>
    <row r="58" spans="1:16" x14ac:dyDescent="0.2">
      <c r="B58" s="116">
        <v>2</v>
      </c>
      <c r="C58" s="1" t="s">
        <v>62</v>
      </c>
      <c r="D58" s="45"/>
      <c r="E58" s="2">
        <v>17000</v>
      </c>
      <c r="F58" s="9">
        <f t="shared" si="6"/>
        <v>34000</v>
      </c>
      <c r="H58" s="8">
        <v>10</v>
      </c>
      <c r="I58" s="183" t="str">
        <f>C419</f>
        <v>Ana sate</v>
      </c>
      <c r="J58" s="149"/>
      <c r="K58" s="180">
        <f>F462</f>
        <v>-1230750</v>
      </c>
      <c r="L58" s="181"/>
      <c r="M58" s="182"/>
      <c r="N58" s="14"/>
      <c r="O58" s="65" t="s">
        <v>65</v>
      </c>
      <c r="P58" s="64"/>
    </row>
    <row r="59" spans="1:16" x14ac:dyDescent="0.2">
      <c r="B59" s="116">
        <v>2</v>
      </c>
      <c r="C59" s="1" t="s">
        <v>18</v>
      </c>
      <c r="D59" s="45"/>
      <c r="E59" s="2">
        <v>77000</v>
      </c>
      <c r="F59" s="9">
        <f t="shared" si="6"/>
        <v>154000</v>
      </c>
      <c r="H59" s="8">
        <v>11</v>
      </c>
      <c r="I59" s="183" t="str">
        <f>C465</f>
        <v>Mb eni</v>
      </c>
      <c r="J59" s="149"/>
      <c r="K59" s="180">
        <f>F508</f>
        <v>-3000500</v>
      </c>
      <c r="L59" s="181"/>
      <c r="M59" s="182"/>
      <c r="N59" s="14"/>
      <c r="O59" s="65" t="s">
        <v>78</v>
      </c>
      <c r="P59" s="64"/>
    </row>
    <row r="60" spans="1:16" x14ac:dyDescent="0.2">
      <c r="B60" s="116"/>
      <c r="C60" s="1" t="s">
        <v>139</v>
      </c>
      <c r="D60" s="45"/>
      <c r="E60" s="2">
        <v>85000</v>
      </c>
      <c r="F60" s="9"/>
      <c r="H60" s="8">
        <v>12</v>
      </c>
      <c r="I60" s="183" t="str">
        <f>C511</f>
        <v>Mb yuni</v>
      </c>
      <c r="J60" s="149"/>
      <c r="K60" s="180">
        <f>F554</f>
        <v>-3119900</v>
      </c>
      <c r="L60" s="181"/>
      <c r="M60" s="182"/>
      <c r="N60" s="14"/>
      <c r="O60" s="65" t="s">
        <v>62</v>
      </c>
      <c r="P60" s="64"/>
    </row>
    <row r="61" spans="1:16" x14ac:dyDescent="0.2">
      <c r="B61" s="116">
        <v>30</v>
      </c>
      <c r="C61" s="1" t="s">
        <v>123</v>
      </c>
      <c r="D61" s="45"/>
      <c r="E61" s="2">
        <v>2200</v>
      </c>
      <c r="F61" s="9">
        <f t="shared" si="6"/>
        <v>66000</v>
      </c>
      <c r="H61" s="8">
        <v>13</v>
      </c>
      <c r="I61" s="183" t="str">
        <f>C557</f>
        <v>nama</v>
      </c>
      <c r="J61" s="149"/>
      <c r="K61" s="180">
        <f>F600</f>
        <v>-486000</v>
      </c>
      <c r="L61" s="181"/>
      <c r="M61" s="182"/>
      <c r="N61" s="14"/>
      <c r="O61" s="65" t="s">
        <v>59</v>
      </c>
      <c r="P61" s="64"/>
    </row>
    <row r="62" spans="1:16" x14ac:dyDescent="0.2">
      <c r="B62" s="116"/>
      <c r="C62" s="1" t="s">
        <v>197</v>
      </c>
      <c r="D62" s="45"/>
      <c r="E62" s="2">
        <v>7000</v>
      </c>
      <c r="F62" s="9">
        <f t="shared" si="6"/>
        <v>0</v>
      </c>
      <c r="H62" s="8">
        <v>14</v>
      </c>
      <c r="I62" s="183" t="str">
        <f>C603</f>
        <v>MB YAYAH</v>
      </c>
      <c r="J62" s="149"/>
      <c r="K62" s="180">
        <f>F646</f>
        <v>-3032750</v>
      </c>
      <c r="L62" s="181"/>
      <c r="M62" s="182"/>
      <c r="N62" s="14"/>
      <c r="O62" s="65" t="s">
        <v>63</v>
      </c>
      <c r="P62" s="64"/>
    </row>
    <row r="63" spans="1:16" x14ac:dyDescent="0.2">
      <c r="B63" s="137">
        <v>150</v>
      </c>
      <c r="C63" s="2" t="s">
        <v>74</v>
      </c>
      <c r="D63" s="45"/>
      <c r="E63" s="2">
        <v>3700</v>
      </c>
      <c r="F63" s="9">
        <f t="shared" si="6"/>
        <v>555000</v>
      </c>
      <c r="H63" s="8">
        <v>15</v>
      </c>
      <c r="I63" s="183" t="str">
        <f>C649</f>
        <v>noval</v>
      </c>
      <c r="J63" s="149"/>
      <c r="K63" s="180">
        <f>F692</f>
        <v>-191500</v>
      </c>
      <c r="L63" s="181"/>
      <c r="M63" s="182"/>
      <c r="N63" s="14"/>
      <c r="O63" s="66" t="s">
        <v>70</v>
      </c>
      <c r="P63" s="64"/>
    </row>
    <row r="64" spans="1:16" x14ac:dyDescent="0.2">
      <c r="B64" s="137"/>
      <c r="C64" s="2" t="s">
        <v>79</v>
      </c>
      <c r="D64" s="45"/>
      <c r="E64" s="2">
        <v>4500</v>
      </c>
      <c r="F64" s="9">
        <f t="shared" si="6"/>
        <v>0</v>
      </c>
      <c r="H64" s="8">
        <v>16</v>
      </c>
      <c r="I64" s="183" t="str">
        <f>C695</f>
        <v>Mz ADAM</v>
      </c>
      <c r="J64" s="149"/>
      <c r="K64" s="180">
        <f>F738</f>
        <v>-468750</v>
      </c>
      <c r="L64" s="181"/>
      <c r="M64" s="182"/>
      <c r="N64" s="14"/>
      <c r="O64" s="66" t="s">
        <v>72</v>
      </c>
      <c r="P64" s="64"/>
    </row>
    <row r="65" spans="1:17" x14ac:dyDescent="0.2">
      <c r="B65" s="137"/>
      <c r="C65" s="2" t="s">
        <v>145</v>
      </c>
      <c r="D65" s="45"/>
      <c r="E65" s="2">
        <v>3700</v>
      </c>
      <c r="F65" s="9">
        <f t="shared" si="6"/>
        <v>0</v>
      </c>
      <c r="H65" s="8">
        <v>17</v>
      </c>
      <c r="I65" s="183" t="str">
        <f>C741</f>
        <v>ema</v>
      </c>
      <c r="J65" s="149"/>
      <c r="K65" s="180">
        <f>F784</f>
        <v>-1847000</v>
      </c>
      <c r="L65" s="181"/>
      <c r="M65" s="182"/>
      <c r="O65" s="66" t="s">
        <v>75</v>
      </c>
      <c r="P65" s="64"/>
    </row>
    <row r="66" spans="1:17" x14ac:dyDescent="0.2">
      <c r="B66" s="137"/>
      <c r="C66" s="2" t="s">
        <v>152</v>
      </c>
      <c r="D66" s="60"/>
      <c r="E66" s="2">
        <v>54000</v>
      </c>
      <c r="F66" s="9">
        <f t="shared" si="6"/>
        <v>0</v>
      </c>
      <c r="H66" s="8">
        <v>18</v>
      </c>
      <c r="I66" s="183" t="str">
        <f>C787</f>
        <v>mz kukuh</v>
      </c>
      <c r="J66" s="149"/>
      <c r="K66" s="180">
        <f>F830</f>
        <v>-593750</v>
      </c>
      <c r="L66" s="181"/>
      <c r="M66" s="182"/>
      <c r="O66" s="29" t="s">
        <v>68</v>
      </c>
      <c r="P66" s="103"/>
    </row>
    <row r="67" spans="1:17" x14ac:dyDescent="0.2">
      <c r="B67" s="137"/>
      <c r="C67" s="2" t="s">
        <v>205</v>
      </c>
      <c r="D67" s="60"/>
      <c r="E67" s="2">
        <v>172000</v>
      </c>
      <c r="F67" s="9">
        <f t="shared" si="6"/>
        <v>0</v>
      </c>
      <c r="H67" s="8">
        <v>19</v>
      </c>
      <c r="I67" s="183" t="str">
        <f>C833</f>
        <v>aziz</v>
      </c>
      <c r="J67" s="149"/>
      <c r="K67" s="180">
        <f>F876</f>
        <v>0</v>
      </c>
      <c r="L67" s="181"/>
      <c r="M67" s="182"/>
      <c r="O67" s="105" t="s">
        <v>76</v>
      </c>
      <c r="P67" s="107" t="s">
        <v>77</v>
      </c>
      <c r="Q67" s="107" t="s">
        <v>154</v>
      </c>
    </row>
    <row r="68" spans="1:17" x14ac:dyDescent="0.2">
      <c r="B68" s="137"/>
      <c r="C68" s="2" t="s">
        <v>174</v>
      </c>
      <c r="D68" s="60"/>
      <c r="E68" s="2"/>
      <c r="F68" s="9">
        <f t="shared" si="6"/>
        <v>0</v>
      </c>
      <c r="H68" s="16">
        <v>20</v>
      </c>
      <c r="I68" s="177" t="str">
        <f>C879</f>
        <v>wenda</v>
      </c>
      <c r="J68" s="178"/>
      <c r="K68" s="218">
        <f>F922</f>
        <v>-500000</v>
      </c>
      <c r="L68" s="219"/>
      <c r="M68" s="220"/>
      <c r="O68" t="s">
        <v>67</v>
      </c>
      <c r="P68" s="47"/>
      <c r="Q68" s="47"/>
    </row>
    <row r="69" spans="1:17" x14ac:dyDescent="0.2">
      <c r="B69" s="137"/>
      <c r="C69" s="2" t="s">
        <v>175</v>
      </c>
      <c r="D69" s="60"/>
      <c r="E69" s="2">
        <v>23100</v>
      </c>
      <c r="F69" s="9">
        <f t="shared" si="6"/>
        <v>0</v>
      </c>
      <c r="H69" s="8">
        <v>21</v>
      </c>
      <c r="I69" s="183" t="str">
        <f>C925</f>
        <v>afan</v>
      </c>
      <c r="J69" s="149"/>
      <c r="K69" s="229">
        <f>F968</f>
        <v>0</v>
      </c>
      <c r="L69" s="230"/>
      <c r="M69" s="231"/>
      <c r="O69" t="s">
        <v>64</v>
      </c>
      <c r="P69" s="24"/>
      <c r="Q69" s="24"/>
    </row>
    <row r="70" spans="1:17" x14ac:dyDescent="0.2">
      <c r="B70" s="137"/>
      <c r="C70" s="2" t="s">
        <v>172</v>
      </c>
      <c r="D70" s="45"/>
      <c r="E70" s="2">
        <v>180000</v>
      </c>
      <c r="F70" s="9">
        <f t="shared" si="6"/>
        <v>0</v>
      </c>
      <c r="H70" s="8">
        <v>22</v>
      </c>
      <c r="I70" s="183" t="str">
        <f>C971</f>
        <v>mz tukin</v>
      </c>
      <c r="J70" s="149"/>
      <c r="K70" s="180">
        <f>F1014</f>
        <v>-337500</v>
      </c>
      <c r="L70" s="181"/>
      <c r="M70" s="182"/>
      <c r="O70" t="s">
        <v>65</v>
      </c>
      <c r="P70" s="24"/>
      <c r="Q70" s="24"/>
    </row>
    <row r="71" spans="1:17" x14ac:dyDescent="0.2">
      <c r="B71" s="137">
        <v>2</v>
      </c>
      <c r="C71" s="56" t="s">
        <v>142</v>
      </c>
      <c r="D71" s="45"/>
      <c r="E71" s="2">
        <v>174000</v>
      </c>
      <c r="F71" s="9">
        <f t="shared" si="6"/>
        <v>348000</v>
      </c>
      <c r="H71" s="16">
        <v>23</v>
      </c>
      <c r="I71" s="177" t="str">
        <f>C833</f>
        <v>aziz</v>
      </c>
      <c r="J71" s="178"/>
      <c r="K71" s="218">
        <f>F1060</f>
        <v>0</v>
      </c>
      <c r="L71" s="219"/>
      <c r="M71" s="220"/>
      <c r="O71" t="s">
        <v>62</v>
      </c>
      <c r="P71" s="24"/>
      <c r="Q71" s="24"/>
    </row>
    <row r="72" spans="1:17" x14ac:dyDescent="0.2">
      <c r="B72" s="137">
        <v>10</v>
      </c>
      <c r="C72" s="2" t="s">
        <v>146</v>
      </c>
      <c r="D72" s="45"/>
      <c r="E72" s="2">
        <v>9000</v>
      </c>
      <c r="F72" s="9">
        <f t="shared" si="6"/>
        <v>90000</v>
      </c>
      <c r="H72" s="16">
        <v>24</v>
      </c>
      <c r="I72" s="177" t="str">
        <f>C1063</f>
        <v>Wonosobo</v>
      </c>
      <c r="J72" s="178"/>
      <c r="K72" s="218">
        <f>F1106</f>
        <v>0</v>
      </c>
      <c r="L72" s="219"/>
      <c r="M72" s="220"/>
      <c r="O72" t="s">
        <v>59</v>
      </c>
      <c r="P72" s="24"/>
      <c r="Q72" s="24"/>
    </row>
    <row r="73" spans="1:17" x14ac:dyDescent="0.2">
      <c r="B73" s="137"/>
      <c r="C73" s="2"/>
      <c r="D73" s="45"/>
      <c r="E73" s="2">
        <v>184000</v>
      </c>
      <c r="F73" s="9">
        <f t="shared" si="6"/>
        <v>0</v>
      </c>
      <c r="H73" s="16">
        <v>25</v>
      </c>
      <c r="I73" s="177" t="str">
        <f>C1109</f>
        <v>ACENG</v>
      </c>
      <c r="J73" s="178"/>
      <c r="K73" s="218">
        <f>F1152</f>
        <v>-467000</v>
      </c>
      <c r="L73" s="219"/>
      <c r="M73" s="220"/>
      <c r="O73" t="s">
        <v>63</v>
      </c>
      <c r="P73" s="24"/>
      <c r="Q73" s="24"/>
    </row>
    <row r="74" spans="1:17" x14ac:dyDescent="0.2">
      <c r="B74" s="137"/>
      <c r="C74" s="2" t="s">
        <v>122</v>
      </c>
      <c r="D74" s="45"/>
      <c r="E74" s="2">
        <v>184000</v>
      </c>
      <c r="F74" s="9">
        <f t="shared" si="6"/>
        <v>0</v>
      </c>
      <c r="H74" s="16">
        <v>26</v>
      </c>
      <c r="I74" s="177" t="str">
        <f>C1155</f>
        <v>faza</v>
      </c>
      <c r="J74" s="178"/>
      <c r="K74" s="218">
        <f>F1198</f>
        <v>-1005600</v>
      </c>
      <c r="L74" s="219"/>
      <c r="M74" s="220"/>
      <c r="O74" t="s">
        <v>61</v>
      </c>
      <c r="P74" s="24"/>
      <c r="Q74" s="24"/>
    </row>
    <row r="75" spans="1:17" x14ac:dyDescent="0.2">
      <c r="B75" s="137">
        <v>0.5</v>
      </c>
      <c r="C75" s="2" t="s">
        <v>143</v>
      </c>
      <c r="D75" s="45"/>
      <c r="E75" s="2">
        <v>162000</v>
      </c>
      <c r="F75" s="9">
        <f t="shared" si="6"/>
        <v>81000</v>
      </c>
      <c r="H75" s="16">
        <v>27</v>
      </c>
      <c r="I75" s="177" t="str">
        <f>C1201</f>
        <v>udin</v>
      </c>
      <c r="J75" s="178"/>
      <c r="K75" s="218">
        <f>F1244</f>
        <v>0</v>
      </c>
      <c r="L75" s="219"/>
      <c r="M75" s="220"/>
      <c r="O75" s="29" t="s">
        <v>68</v>
      </c>
    </row>
    <row r="76" spans="1:17" x14ac:dyDescent="0.2">
      <c r="B76" s="137"/>
      <c r="C76" s="2" t="s">
        <v>126</v>
      </c>
      <c r="D76" s="45"/>
      <c r="E76" s="2">
        <v>110000</v>
      </c>
      <c r="F76" s="9">
        <f t="shared" si="6"/>
        <v>0</v>
      </c>
      <c r="H76" s="16">
        <v>28</v>
      </c>
      <c r="I76" s="177" t="str">
        <f>C1247</f>
        <v>nonik</v>
      </c>
      <c r="J76" s="178"/>
      <c r="K76" s="218">
        <f>F1290</f>
        <v>0</v>
      </c>
      <c r="L76" s="219"/>
      <c r="M76" s="220"/>
      <c r="O76" s="33" t="s">
        <v>69</v>
      </c>
      <c r="P76" s="34"/>
    </row>
    <row r="77" spans="1:17" x14ac:dyDescent="0.2">
      <c r="B77" s="137"/>
      <c r="C77" s="2" t="s">
        <v>153</v>
      </c>
      <c r="D77" s="45"/>
      <c r="E77" s="2">
        <v>225000</v>
      </c>
      <c r="F77" s="9">
        <f t="shared" si="6"/>
        <v>0</v>
      </c>
      <c r="H77" s="16">
        <v>29</v>
      </c>
      <c r="I77" s="177" t="str">
        <f>C1293</f>
        <v>nama</v>
      </c>
      <c r="J77" s="178"/>
      <c r="K77" s="218">
        <f>F1336</f>
        <v>0</v>
      </c>
      <c r="L77" s="219"/>
      <c r="M77" s="220"/>
      <c r="P77" s="14"/>
    </row>
    <row r="78" spans="1:17" ht="13.5" customHeight="1" x14ac:dyDescent="0.2">
      <c r="A78" s="59"/>
      <c r="B78" s="137"/>
      <c r="C78" s="2" t="s">
        <v>141</v>
      </c>
      <c r="D78" s="45"/>
      <c r="E78" s="2">
        <v>21500</v>
      </c>
      <c r="F78" s="9">
        <f t="shared" si="6"/>
        <v>0</v>
      </c>
      <c r="H78" s="16">
        <v>30</v>
      </c>
      <c r="I78" s="177" t="str">
        <f>C1339</f>
        <v>bawa rumah</v>
      </c>
      <c r="J78" s="178"/>
      <c r="K78" s="218">
        <f>F1382</f>
        <v>0</v>
      </c>
      <c r="L78" s="219"/>
      <c r="M78" s="220"/>
    </row>
    <row r="79" spans="1:17" x14ac:dyDescent="0.2">
      <c r="B79" s="137"/>
      <c r="C79" s="2" t="s">
        <v>144</v>
      </c>
      <c r="D79" s="45"/>
      <c r="E79" s="2">
        <v>22500</v>
      </c>
      <c r="F79" s="9">
        <f t="shared" si="6"/>
        <v>0</v>
      </c>
      <c r="H79" s="16">
        <v>31</v>
      </c>
      <c r="I79" s="179" t="str">
        <f>C1385</f>
        <v>NAMA</v>
      </c>
      <c r="J79" s="178"/>
      <c r="K79" s="218">
        <f>F1428</f>
        <v>0</v>
      </c>
      <c r="L79" s="219"/>
      <c r="M79" s="220"/>
    </row>
    <row r="80" spans="1:17" x14ac:dyDescent="0.2">
      <c r="B80" s="137"/>
      <c r="C80" s="2" t="s">
        <v>147</v>
      </c>
      <c r="D80" s="45"/>
      <c r="E80" s="2">
        <v>7000</v>
      </c>
      <c r="F80" s="9">
        <f t="shared" si="6"/>
        <v>0</v>
      </c>
      <c r="H80" s="16">
        <v>32</v>
      </c>
      <c r="I80" s="177" t="str">
        <f>C1431</f>
        <v>babe</v>
      </c>
      <c r="J80" s="178"/>
      <c r="K80" s="218">
        <f>F1474</f>
        <v>-240500</v>
      </c>
      <c r="L80" s="219"/>
      <c r="M80" s="220"/>
    </row>
    <row r="81" spans="1:13" ht="13.5" customHeight="1" x14ac:dyDescent="0.2">
      <c r="B81" s="137"/>
      <c r="C81" s="2" t="s">
        <v>173</v>
      </c>
      <c r="D81" s="45"/>
      <c r="E81" s="2">
        <v>207000</v>
      </c>
      <c r="F81" s="9">
        <f t="shared" si="6"/>
        <v>0</v>
      </c>
      <c r="H81" s="16">
        <v>33</v>
      </c>
      <c r="I81" s="177" t="str">
        <f>C1477</f>
        <v>mb nur</v>
      </c>
      <c r="J81" s="178"/>
      <c r="K81" s="218">
        <f>F1520</f>
        <v>-1245000</v>
      </c>
      <c r="L81" s="219"/>
      <c r="M81" s="220"/>
    </row>
    <row r="82" spans="1:13" x14ac:dyDescent="0.2">
      <c r="B82" s="137"/>
      <c r="C82" s="2" t="s">
        <v>159</v>
      </c>
      <c r="D82" s="45"/>
      <c r="E82" s="2"/>
      <c r="F82" s="9">
        <f t="shared" si="6"/>
        <v>0</v>
      </c>
      <c r="H82" s="16">
        <v>34</v>
      </c>
      <c r="I82" s="177" t="str">
        <f>C1523</f>
        <v>parakan</v>
      </c>
      <c r="J82" s="178"/>
      <c r="K82" s="218">
        <f>F1566</f>
        <v>-4249000</v>
      </c>
      <c r="L82" s="219"/>
      <c r="M82" s="220"/>
    </row>
    <row r="83" spans="1:13" ht="15.75" thickBot="1" x14ac:dyDescent="0.25">
      <c r="B83" s="137"/>
      <c r="C83" s="2" t="s">
        <v>148</v>
      </c>
      <c r="D83" s="45"/>
      <c r="E83" s="2">
        <v>220000</v>
      </c>
      <c r="F83" s="9">
        <f t="shared" si="6"/>
        <v>0</v>
      </c>
      <c r="H83" s="55">
        <v>35</v>
      </c>
      <c r="I83" s="224" t="str">
        <f>C1569</f>
        <v>BARANG HILANG</v>
      </c>
      <c r="J83" s="225"/>
      <c r="K83" s="226">
        <f>F1612</f>
        <v>-476000</v>
      </c>
      <c r="L83" s="227"/>
      <c r="M83" s="228"/>
    </row>
    <row r="84" spans="1:13" ht="15.75" thickBot="1" x14ac:dyDescent="0.25">
      <c r="B84" s="137"/>
      <c r="C84" s="2" t="s">
        <v>176</v>
      </c>
      <c r="D84" s="45"/>
      <c r="E84" s="2"/>
      <c r="F84" s="9">
        <f t="shared" si="6"/>
        <v>0</v>
      </c>
      <c r="H84" s="54"/>
      <c r="I84" s="206" t="s">
        <v>8</v>
      </c>
      <c r="J84" s="207"/>
      <c r="K84" s="208">
        <f>SUM(K49:K83)</f>
        <v>-29419150</v>
      </c>
      <c r="L84" s="209"/>
      <c r="M84" s="210"/>
    </row>
    <row r="85" spans="1:13" x14ac:dyDescent="0.2">
      <c r="B85" s="137"/>
      <c r="C85" s="2" t="s">
        <v>169</v>
      </c>
      <c r="D85" s="45"/>
      <c r="E85" s="2"/>
      <c r="F85" s="9">
        <f t="shared" si="6"/>
        <v>0</v>
      </c>
    </row>
    <row r="86" spans="1:13" x14ac:dyDescent="0.2">
      <c r="A86" t="s">
        <v>129</v>
      </c>
      <c r="B86" s="137"/>
      <c r="C86" s="2" t="s">
        <v>168</v>
      </c>
      <c r="D86" s="45"/>
      <c r="E86" s="2"/>
      <c r="F86" s="9">
        <f t="shared" ref="F86" si="7">(B86-D86) *E86</f>
        <v>0</v>
      </c>
    </row>
    <row r="87" spans="1:13" x14ac:dyDescent="0.2">
      <c r="B87" s="132"/>
      <c r="C87" s="2" t="s">
        <v>179</v>
      </c>
      <c r="D87" s="45"/>
      <c r="E87" s="2">
        <v>22500</v>
      </c>
      <c r="F87" s="9">
        <f t="shared" ref="F87" si="8">(B87-D87) *E87</f>
        <v>0</v>
      </c>
    </row>
    <row r="88" spans="1:13" x14ac:dyDescent="0.2">
      <c r="B88" s="58"/>
      <c r="C88" s="56"/>
      <c r="D88" s="45"/>
      <c r="E88" s="2"/>
      <c r="F88" s="9"/>
    </row>
    <row r="89" spans="1:13" x14ac:dyDescent="0.2">
      <c r="B89" s="58"/>
      <c r="C89" s="56"/>
      <c r="D89" s="45"/>
      <c r="E89" s="133" t="s">
        <v>180</v>
      </c>
      <c r="F89" s="134">
        <v>-5000</v>
      </c>
    </row>
    <row r="90" spans="1:13" ht="15.75" thickBot="1" x14ac:dyDescent="0.25">
      <c r="B90" s="144" t="s">
        <v>11</v>
      </c>
      <c r="C90" s="145"/>
      <c r="D90" s="145"/>
      <c r="E90" s="146"/>
      <c r="F90" s="10">
        <f>SUM(F54:F89)</f>
        <v>2074250</v>
      </c>
    </row>
    <row r="91" spans="1:13" x14ac:dyDescent="0.2">
      <c r="B91" s="153" t="s">
        <v>116</v>
      </c>
      <c r="C91" s="154"/>
      <c r="D91" s="154"/>
      <c r="E91" s="155"/>
      <c r="F91" s="17">
        <v>3501000</v>
      </c>
    </row>
    <row r="92" spans="1:13" x14ac:dyDescent="0.2">
      <c r="B92" s="147" t="s">
        <v>8</v>
      </c>
      <c r="C92" s="148"/>
      <c r="D92" s="148"/>
      <c r="E92" s="149"/>
      <c r="F92" s="28">
        <f>F91+F90</f>
        <v>5575250</v>
      </c>
    </row>
    <row r="93" spans="1:13" x14ac:dyDescent="0.2">
      <c r="B93" s="147" t="s">
        <v>9</v>
      </c>
      <c r="C93" s="148"/>
      <c r="D93" s="148"/>
      <c r="E93" s="149"/>
      <c r="F93" s="39">
        <v>1807000</v>
      </c>
    </row>
    <row r="94" spans="1:13" ht="15.75" thickBot="1" x14ac:dyDescent="0.25">
      <c r="B94" s="150" t="s">
        <v>10</v>
      </c>
      <c r="C94" s="151"/>
      <c r="D94" s="151"/>
      <c r="E94" s="152"/>
      <c r="F94" s="12">
        <f>F92-F93</f>
        <v>3768250</v>
      </c>
    </row>
    <row r="95" spans="1:13" ht="15.75" thickBot="1" x14ac:dyDescent="0.25">
      <c r="F95" s="78"/>
    </row>
    <row r="96" spans="1:13" x14ac:dyDescent="0.2">
      <c r="A96" s="27" t="s">
        <v>27</v>
      </c>
      <c r="B96" s="6" t="s">
        <v>2</v>
      </c>
      <c r="C96" s="156">
        <f>C50</f>
        <v>46315</v>
      </c>
      <c r="D96" s="157"/>
      <c r="E96" s="157"/>
      <c r="F96" s="158"/>
    </row>
    <row r="97" spans="2:6" x14ac:dyDescent="0.2">
      <c r="B97" s="7" t="s">
        <v>0</v>
      </c>
      <c r="C97" s="164" t="s">
        <v>162</v>
      </c>
      <c r="D97" s="164"/>
      <c r="E97" s="164"/>
      <c r="F97" s="143"/>
    </row>
    <row r="98" spans="2:6" x14ac:dyDescent="0.2">
      <c r="B98" s="7" t="s">
        <v>1</v>
      </c>
      <c r="C98" s="164" t="s">
        <v>130</v>
      </c>
      <c r="D98" s="164"/>
      <c r="E98" s="164"/>
      <c r="F98" s="143"/>
    </row>
    <row r="99" spans="2:6" ht="15.75" thickBot="1" x14ac:dyDescent="0.25">
      <c r="B99" s="7"/>
      <c r="C99" s="164"/>
      <c r="D99" s="164"/>
      <c r="E99" s="164"/>
      <c r="F99" s="143"/>
    </row>
    <row r="100" spans="2:6" x14ac:dyDescent="0.2">
      <c r="B100" s="91" t="s">
        <v>108</v>
      </c>
      <c r="C100" s="92" t="s">
        <v>3</v>
      </c>
      <c r="D100" s="92" t="s">
        <v>4</v>
      </c>
      <c r="E100" s="93"/>
      <c r="F100" s="94" t="s">
        <v>5</v>
      </c>
    </row>
    <row r="101" spans="2:6" x14ac:dyDescent="0.2">
      <c r="B101" s="8"/>
      <c r="C101" s="35" t="s">
        <v>67</v>
      </c>
      <c r="D101" s="60"/>
      <c r="E101" s="2">
        <v>3750</v>
      </c>
      <c r="F101" s="9">
        <f t="shared" ref="F101:F134" si="9">(B101-D101) *E101</f>
        <v>0</v>
      </c>
    </row>
    <row r="102" spans="2:6" x14ac:dyDescent="0.2">
      <c r="B102" s="84"/>
      <c r="C102" s="1" t="s">
        <v>14</v>
      </c>
      <c r="D102" s="80"/>
      <c r="E102" s="56">
        <v>9250</v>
      </c>
      <c r="F102" s="81">
        <f t="shared" si="9"/>
        <v>0</v>
      </c>
    </row>
    <row r="103" spans="2:6" x14ac:dyDescent="0.2">
      <c r="B103" s="83"/>
      <c r="C103" s="1" t="s">
        <v>15</v>
      </c>
      <c r="D103" s="45"/>
      <c r="E103" s="2">
        <v>4750</v>
      </c>
      <c r="F103" s="9">
        <f t="shared" si="9"/>
        <v>0</v>
      </c>
    </row>
    <row r="104" spans="2:6" x14ac:dyDescent="0.2">
      <c r="B104" s="83"/>
      <c r="C104" s="1" t="s">
        <v>62</v>
      </c>
      <c r="D104" s="45"/>
      <c r="E104" s="2">
        <v>17000</v>
      </c>
      <c r="F104" s="9">
        <f t="shared" si="9"/>
        <v>0</v>
      </c>
    </row>
    <row r="105" spans="2:6" x14ac:dyDescent="0.2">
      <c r="B105" s="83"/>
      <c r="C105" s="1" t="s">
        <v>18</v>
      </c>
      <c r="D105" s="45"/>
      <c r="E105" s="2"/>
      <c r="F105" s="9">
        <f t="shared" si="9"/>
        <v>0</v>
      </c>
    </row>
    <row r="106" spans="2:6" x14ac:dyDescent="0.2">
      <c r="B106" s="83"/>
      <c r="C106" s="1"/>
      <c r="D106" s="45"/>
      <c r="E106" s="2"/>
      <c r="F106" s="9">
        <f t="shared" si="9"/>
        <v>0</v>
      </c>
    </row>
    <row r="107" spans="2:6" x14ac:dyDescent="0.2">
      <c r="B107" s="83"/>
      <c r="C107" s="1"/>
      <c r="D107" s="45"/>
      <c r="E107" s="2"/>
      <c r="F107" s="9">
        <f t="shared" si="9"/>
        <v>0</v>
      </c>
    </row>
    <row r="108" spans="2:6" x14ac:dyDescent="0.2">
      <c r="B108" s="83"/>
      <c r="C108" s="1"/>
      <c r="D108" s="45"/>
      <c r="E108" s="2"/>
      <c r="F108" s="9">
        <f t="shared" si="9"/>
        <v>0</v>
      </c>
    </row>
    <row r="109" spans="2:6" x14ac:dyDescent="0.2">
      <c r="B109" s="83"/>
      <c r="C109" s="2"/>
      <c r="D109" s="45"/>
      <c r="E109" s="2"/>
      <c r="F109" s="9">
        <f t="shared" si="9"/>
        <v>0</v>
      </c>
    </row>
    <row r="110" spans="2:6" x14ac:dyDescent="0.2">
      <c r="B110" s="83"/>
      <c r="C110" s="2"/>
      <c r="D110" s="45"/>
      <c r="E110" s="2"/>
      <c r="F110" s="9">
        <f t="shared" si="9"/>
        <v>0</v>
      </c>
    </row>
    <row r="111" spans="2:6" x14ac:dyDescent="0.2">
      <c r="B111" s="83"/>
      <c r="C111" s="2"/>
      <c r="D111" s="45"/>
      <c r="E111" s="2"/>
      <c r="F111" s="9">
        <f t="shared" si="9"/>
        <v>0</v>
      </c>
    </row>
    <row r="112" spans="2:6" x14ac:dyDescent="0.2">
      <c r="B112" s="83"/>
      <c r="C112" s="2"/>
      <c r="D112" s="45"/>
      <c r="E112" s="2"/>
      <c r="F112" s="9">
        <f t="shared" si="9"/>
        <v>0</v>
      </c>
    </row>
    <row r="113" spans="2:8" x14ac:dyDescent="0.2">
      <c r="B113" s="83"/>
      <c r="C113" s="2"/>
      <c r="D113" s="45"/>
      <c r="E113" s="2"/>
      <c r="F113" s="9">
        <f t="shared" si="9"/>
        <v>0</v>
      </c>
    </row>
    <row r="114" spans="2:8" x14ac:dyDescent="0.2">
      <c r="B114" s="83"/>
      <c r="C114" s="2"/>
      <c r="D114" s="45"/>
      <c r="E114" s="2"/>
      <c r="F114" s="9">
        <f t="shared" si="9"/>
        <v>0</v>
      </c>
    </row>
    <row r="115" spans="2:8" x14ac:dyDescent="0.2">
      <c r="B115" s="85"/>
      <c r="C115" s="2"/>
      <c r="D115" s="45"/>
      <c r="E115" s="2"/>
      <c r="F115" s="9">
        <f t="shared" si="9"/>
        <v>0</v>
      </c>
    </row>
    <row r="116" spans="2:8" x14ac:dyDescent="0.2">
      <c r="B116" s="83"/>
      <c r="C116" s="2"/>
      <c r="D116" s="45"/>
      <c r="E116" s="2"/>
      <c r="F116" s="9">
        <f t="shared" si="9"/>
        <v>0</v>
      </c>
    </row>
    <row r="117" spans="2:8" x14ac:dyDescent="0.2">
      <c r="B117" s="83"/>
      <c r="C117" s="2"/>
      <c r="D117" s="45"/>
      <c r="E117" s="2"/>
      <c r="F117" s="9">
        <f t="shared" si="9"/>
        <v>0</v>
      </c>
    </row>
    <row r="118" spans="2:8" x14ac:dyDescent="0.2">
      <c r="B118" s="83"/>
      <c r="C118" s="2"/>
      <c r="D118" s="45"/>
      <c r="E118" s="2"/>
      <c r="F118" s="9">
        <f t="shared" si="9"/>
        <v>0</v>
      </c>
    </row>
    <row r="119" spans="2:8" x14ac:dyDescent="0.2">
      <c r="B119" s="83"/>
      <c r="C119" s="2"/>
      <c r="D119" s="45"/>
      <c r="E119" s="2"/>
      <c r="F119" s="9">
        <f t="shared" si="9"/>
        <v>0</v>
      </c>
    </row>
    <row r="120" spans="2:8" x14ac:dyDescent="0.2">
      <c r="B120" s="83"/>
      <c r="C120" s="2"/>
      <c r="D120" s="45"/>
      <c r="E120" s="2"/>
      <c r="F120" s="9">
        <f t="shared" si="9"/>
        <v>0</v>
      </c>
    </row>
    <row r="121" spans="2:8" x14ac:dyDescent="0.2">
      <c r="B121" s="83"/>
      <c r="C121" s="2"/>
      <c r="D121" s="45"/>
      <c r="E121" s="2"/>
      <c r="F121" s="9">
        <f t="shared" si="9"/>
        <v>0</v>
      </c>
    </row>
    <row r="122" spans="2:8" x14ac:dyDescent="0.2">
      <c r="B122" s="83"/>
      <c r="C122" s="2"/>
      <c r="D122" s="45"/>
      <c r="E122" s="2"/>
      <c r="F122" s="9">
        <f t="shared" si="9"/>
        <v>0</v>
      </c>
    </row>
    <row r="123" spans="2:8" x14ac:dyDescent="0.2">
      <c r="B123" s="120"/>
      <c r="C123" s="2"/>
      <c r="D123" s="45"/>
      <c r="E123" s="2"/>
      <c r="F123" s="9">
        <f t="shared" si="9"/>
        <v>0</v>
      </c>
      <c r="H123" s="57"/>
    </row>
    <row r="124" spans="2:8" x14ac:dyDescent="0.2">
      <c r="B124" s="83"/>
      <c r="C124" s="2"/>
      <c r="D124" s="45"/>
      <c r="E124" s="2"/>
      <c r="F124" s="9">
        <f t="shared" si="9"/>
        <v>0</v>
      </c>
    </row>
    <row r="125" spans="2:8" x14ac:dyDescent="0.2">
      <c r="B125" s="83"/>
      <c r="C125" s="2"/>
      <c r="D125" s="45"/>
      <c r="E125" s="2"/>
      <c r="F125" s="9">
        <f t="shared" si="9"/>
        <v>0</v>
      </c>
    </row>
    <row r="126" spans="2:8" x14ac:dyDescent="0.2">
      <c r="B126" s="84"/>
      <c r="C126" s="2"/>
      <c r="D126" s="45"/>
      <c r="E126" s="2"/>
      <c r="F126" s="9">
        <f t="shared" si="9"/>
        <v>0</v>
      </c>
    </row>
    <row r="127" spans="2:8" x14ac:dyDescent="0.2">
      <c r="B127" s="83"/>
      <c r="C127" s="2"/>
      <c r="D127" s="45"/>
      <c r="E127" s="2"/>
      <c r="F127" s="9">
        <f t="shared" si="9"/>
        <v>0</v>
      </c>
    </row>
    <row r="128" spans="2:8" x14ac:dyDescent="0.2">
      <c r="B128" s="83"/>
      <c r="C128" s="2"/>
      <c r="D128" s="45"/>
      <c r="E128" s="2"/>
      <c r="F128" s="9">
        <f t="shared" si="9"/>
        <v>0</v>
      </c>
    </row>
    <row r="129" spans="1:6" x14ac:dyDescent="0.2">
      <c r="B129" s="83"/>
      <c r="C129" s="2"/>
      <c r="D129" s="45"/>
      <c r="E129" s="2"/>
      <c r="F129" s="9">
        <f t="shared" si="9"/>
        <v>0</v>
      </c>
    </row>
    <row r="130" spans="1:6" x14ac:dyDescent="0.2">
      <c r="B130" s="83"/>
      <c r="C130" s="2"/>
      <c r="D130" s="45"/>
      <c r="E130" s="2"/>
      <c r="F130" s="9">
        <f t="shared" si="9"/>
        <v>0</v>
      </c>
    </row>
    <row r="131" spans="1:6" x14ac:dyDescent="0.2">
      <c r="B131" s="83"/>
      <c r="C131" s="2"/>
      <c r="D131" s="45"/>
      <c r="E131" s="2"/>
      <c r="F131" s="9">
        <f t="shared" si="9"/>
        <v>0</v>
      </c>
    </row>
    <row r="132" spans="1:6" x14ac:dyDescent="0.2">
      <c r="B132" s="83"/>
      <c r="C132" s="2"/>
      <c r="D132" s="45"/>
      <c r="E132" s="2"/>
      <c r="F132" s="9">
        <f t="shared" si="9"/>
        <v>0</v>
      </c>
    </row>
    <row r="133" spans="1:6" x14ac:dyDescent="0.2">
      <c r="B133" s="83"/>
      <c r="C133" s="2"/>
      <c r="D133" s="45"/>
      <c r="E133" s="2"/>
      <c r="F133" s="9">
        <f t="shared" si="9"/>
        <v>0</v>
      </c>
    </row>
    <row r="134" spans="1:6" x14ac:dyDescent="0.2">
      <c r="B134" s="83"/>
      <c r="C134" s="56"/>
      <c r="D134" s="45"/>
      <c r="E134" s="2"/>
      <c r="F134" s="9">
        <f t="shared" si="9"/>
        <v>0</v>
      </c>
    </row>
    <row r="135" spans="1:6" x14ac:dyDescent="0.2">
      <c r="B135" s="8"/>
      <c r="C135" s="159"/>
      <c r="D135" s="160"/>
      <c r="E135" s="161"/>
      <c r="F135" s="70"/>
    </row>
    <row r="136" spans="1:6" ht="15.75" thickBot="1" x14ac:dyDescent="0.25">
      <c r="B136" s="144"/>
      <c r="C136" s="145"/>
      <c r="D136" s="145"/>
      <c r="E136" s="146"/>
      <c r="F136" s="67">
        <f>SUM(F101:F135)</f>
        <v>0</v>
      </c>
    </row>
    <row r="137" spans="1:6" x14ac:dyDescent="0.2">
      <c r="B137" s="165" t="s">
        <v>7</v>
      </c>
      <c r="C137" s="166"/>
      <c r="D137" s="166"/>
      <c r="E137" s="167"/>
      <c r="F137" s="81">
        <v>119500</v>
      </c>
    </row>
    <row r="138" spans="1:6" x14ac:dyDescent="0.2">
      <c r="B138" s="147" t="s">
        <v>8</v>
      </c>
      <c r="C138" s="148"/>
      <c r="D138" s="148"/>
      <c r="E138" s="149"/>
      <c r="F138" s="28">
        <f>F137+F136</f>
        <v>119500</v>
      </c>
    </row>
    <row r="139" spans="1:6" x14ac:dyDescent="0.2">
      <c r="B139" s="147"/>
      <c r="C139" s="148"/>
      <c r="D139" s="148"/>
      <c r="E139" s="149"/>
      <c r="F139" s="39"/>
    </row>
    <row r="140" spans="1:6" ht="15.75" thickBot="1" x14ac:dyDescent="0.25">
      <c r="B140" s="150" t="s">
        <v>10</v>
      </c>
      <c r="C140" s="151"/>
      <c r="D140" s="151"/>
      <c r="E140" s="152"/>
      <c r="F140" s="12">
        <f>F139-F138</f>
        <v>-119500</v>
      </c>
    </row>
    <row r="141" spans="1:6" ht="15.75" thickBot="1" x14ac:dyDescent="0.25">
      <c r="B141" s="69"/>
    </row>
    <row r="142" spans="1:6" x14ac:dyDescent="0.2">
      <c r="A142" s="27" t="s">
        <v>28</v>
      </c>
      <c r="B142" s="6" t="s">
        <v>2</v>
      </c>
      <c r="C142" s="156">
        <f>C96</f>
        <v>46315</v>
      </c>
      <c r="D142" s="157"/>
      <c r="E142" s="157"/>
      <c r="F142" s="158"/>
    </row>
    <row r="143" spans="1:6" x14ac:dyDescent="0.2">
      <c r="B143" s="7" t="s">
        <v>0</v>
      </c>
      <c r="C143" s="142" t="s">
        <v>92</v>
      </c>
      <c r="D143" s="142"/>
      <c r="E143" s="142"/>
      <c r="F143" s="143"/>
    </row>
    <row r="144" spans="1:6" x14ac:dyDescent="0.2">
      <c r="B144" s="7" t="s">
        <v>1</v>
      </c>
      <c r="C144" s="142" t="s">
        <v>54</v>
      </c>
      <c r="D144" s="142"/>
      <c r="E144" s="142"/>
      <c r="F144" s="143"/>
    </row>
    <row r="145" spans="2:6" ht="15.75" thickBot="1" x14ac:dyDescent="0.25">
      <c r="B145" s="62"/>
      <c r="C145" s="162"/>
      <c r="D145" s="162"/>
      <c r="E145" s="162"/>
      <c r="F145" s="163"/>
    </row>
    <row r="146" spans="2:6" x14ac:dyDescent="0.2">
      <c r="B146" s="91" t="s">
        <v>108</v>
      </c>
      <c r="C146" s="92" t="s">
        <v>3</v>
      </c>
      <c r="D146" s="92" t="s">
        <v>4</v>
      </c>
      <c r="E146" s="93"/>
      <c r="F146" s="94" t="s">
        <v>5</v>
      </c>
    </row>
    <row r="147" spans="2:6" x14ac:dyDescent="0.2">
      <c r="B147" s="124">
        <v>20</v>
      </c>
      <c r="C147" s="35" t="s">
        <v>67</v>
      </c>
      <c r="D147" s="60"/>
      <c r="E147" s="2">
        <v>3750</v>
      </c>
      <c r="F147" s="9">
        <f t="shared" ref="F147:F180" si="10">(B147-D147) *E147</f>
        <v>75000</v>
      </c>
    </row>
    <row r="148" spans="2:6" x14ac:dyDescent="0.2">
      <c r="B148" s="84"/>
      <c r="C148" s="1" t="s">
        <v>14</v>
      </c>
      <c r="D148" s="80"/>
      <c r="E148" s="56">
        <v>9250</v>
      </c>
      <c r="F148" s="81">
        <f t="shared" si="10"/>
        <v>0</v>
      </c>
    </row>
    <row r="149" spans="2:6" x14ac:dyDescent="0.2">
      <c r="B149" s="83"/>
      <c r="C149" s="1" t="s">
        <v>15</v>
      </c>
      <c r="D149" s="45"/>
      <c r="E149" s="2">
        <v>4750</v>
      </c>
      <c r="F149" s="9">
        <f t="shared" si="10"/>
        <v>0</v>
      </c>
    </row>
    <row r="150" spans="2:6" x14ac:dyDescent="0.2">
      <c r="B150" s="83"/>
      <c r="C150" s="1" t="s">
        <v>62</v>
      </c>
      <c r="D150" s="45"/>
      <c r="E150" s="2">
        <v>17000</v>
      </c>
      <c r="F150" s="9">
        <f t="shared" si="10"/>
        <v>0</v>
      </c>
    </row>
    <row r="151" spans="2:6" x14ac:dyDescent="0.2">
      <c r="B151" s="83"/>
      <c r="C151" s="1" t="s">
        <v>18</v>
      </c>
      <c r="D151" s="45"/>
      <c r="E151" s="2"/>
      <c r="F151" s="9">
        <f t="shared" si="10"/>
        <v>0</v>
      </c>
    </row>
    <row r="152" spans="2:6" x14ac:dyDescent="0.2">
      <c r="B152" s="83"/>
      <c r="C152" s="1" t="s">
        <v>139</v>
      </c>
      <c r="D152" s="45"/>
      <c r="E152" s="2"/>
      <c r="F152" s="9">
        <f>(B152-D152+D163) *E152</f>
        <v>0</v>
      </c>
    </row>
    <row r="153" spans="2:6" x14ac:dyDescent="0.2">
      <c r="B153" s="83"/>
      <c r="C153" s="1" t="s">
        <v>123</v>
      </c>
      <c r="D153" s="45"/>
      <c r="E153" s="2"/>
      <c r="F153" s="9">
        <f t="shared" si="10"/>
        <v>0</v>
      </c>
    </row>
    <row r="154" spans="2:6" x14ac:dyDescent="0.2">
      <c r="B154" s="83"/>
      <c r="C154" s="1" t="s">
        <v>151</v>
      </c>
      <c r="D154" s="45"/>
      <c r="E154" s="2"/>
      <c r="F154" s="9">
        <f t="shared" si="10"/>
        <v>0</v>
      </c>
    </row>
    <row r="155" spans="2:6" x14ac:dyDescent="0.2">
      <c r="B155" s="83">
        <v>50</v>
      </c>
      <c r="C155" s="2" t="s">
        <v>74</v>
      </c>
      <c r="D155" s="45"/>
      <c r="E155" s="2">
        <v>3700</v>
      </c>
      <c r="F155" s="9">
        <f t="shared" si="10"/>
        <v>185000</v>
      </c>
    </row>
    <row r="156" spans="2:6" x14ac:dyDescent="0.2">
      <c r="B156" s="83"/>
      <c r="C156" s="2" t="s">
        <v>79</v>
      </c>
      <c r="D156" s="45"/>
      <c r="E156" s="2">
        <v>4500</v>
      </c>
      <c r="F156" s="9">
        <f t="shared" si="10"/>
        <v>0</v>
      </c>
    </row>
    <row r="157" spans="2:6" x14ac:dyDescent="0.2">
      <c r="B157" s="83"/>
      <c r="C157" s="2" t="s">
        <v>145</v>
      </c>
      <c r="D157" s="45"/>
      <c r="E157" s="2">
        <v>3700</v>
      </c>
      <c r="F157" s="9">
        <f t="shared" si="10"/>
        <v>0</v>
      </c>
    </row>
    <row r="158" spans="2:6" x14ac:dyDescent="0.2">
      <c r="B158" s="83"/>
      <c r="C158" s="2" t="s">
        <v>152</v>
      </c>
      <c r="D158" s="45"/>
      <c r="E158" s="2">
        <v>54000</v>
      </c>
      <c r="F158" s="9">
        <f t="shared" si="10"/>
        <v>0</v>
      </c>
    </row>
    <row r="159" spans="2:6" x14ac:dyDescent="0.2">
      <c r="B159" s="83"/>
      <c r="C159" s="2"/>
      <c r="D159" s="45"/>
      <c r="E159" s="2"/>
      <c r="F159" s="9">
        <f t="shared" si="10"/>
        <v>0</v>
      </c>
    </row>
    <row r="160" spans="2:6" x14ac:dyDescent="0.2">
      <c r="B160" s="83"/>
      <c r="C160" s="2"/>
      <c r="D160" s="45"/>
      <c r="E160" s="2"/>
      <c r="F160" s="9">
        <f t="shared" si="10"/>
        <v>0</v>
      </c>
    </row>
    <row r="161" spans="2:11" x14ac:dyDescent="0.2">
      <c r="B161" s="85"/>
      <c r="C161" s="2"/>
      <c r="D161" s="45"/>
      <c r="E161" s="2"/>
      <c r="F161" s="9">
        <f t="shared" si="10"/>
        <v>0</v>
      </c>
    </row>
    <row r="162" spans="2:11" x14ac:dyDescent="0.2">
      <c r="B162" s="83"/>
      <c r="C162" s="2"/>
      <c r="D162" s="45"/>
      <c r="E162" s="2"/>
      <c r="F162" s="9">
        <f t="shared" si="10"/>
        <v>0</v>
      </c>
    </row>
    <row r="163" spans="2:11" x14ac:dyDescent="0.2">
      <c r="B163" s="83"/>
      <c r="C163" s="2"/>
      <c r="D163" s="45"/>
      <c r="E163" s="2"/>
      <c r="F163" s="9">
        <f t="shared" si="10"/>
        <v>0</v>
      </c>
      <c r="K163" t="s">
        <v>73</v>
      </c>
    </row>
    <row r="164" spans="2:11" x14ac:dyDescent="0.2">
      <c r="B164" s="83"/>
      <c r="C164" s="2"/>
      <c r="D164" s="45"/>
      <c r="E164" s="2"/>
      <c r="F164" s="9">
        <f t="shared" si="10"/>
        <v>0</v>
      </c>
    </row>
    <row r="165" spans="2:11" x14ac:dyDescent="0.2">
      <c r="B165" s="83"/>
      <c r="C165" s="2"/>
      <c r="D165" s="45"/>
      <c r="E165" s="2"/>
      <c r="F165" s="9">
        <f t="shared" si="10"/>
        <v>0</v>
      </c>
    </row>
    <row r="166" spans="2:11" x14ac:dyDescent="0.2">
      <c r="B166" s="83"/>
      <c r="C166" s="2"/>
      <c r="D166" s="45"/>
      <c r="E166" s="2"/>
      <c r="F166" s="9">
        <f t="shared" si="10"/>
        <v>0</v>
      </c>
    </row>
    <row r="167" spans="2:11" x14ac:dyDescent="0.2">
      <c r="B167" s="83"/>
      <c r="C167" s="2"/>
      <c r="D167" s="45"/>
      <c r="E167" s="2"/>
      <c r="F167" s="9">
        <f t="shared" si="10"/>
        <v>0</v>
      </c>
    </row>
    <row r="168" spans="2:11" x14ac:dyDescent="0.2">
      <c r="B168" s="83"/>
      <c r="C168" s="2"/>
      <c r="D168" s="45"/>
      <c r="E168" s="2"/>
      <c r="F168" s="9">
        <f t="shared" si="10"/>
        <v>0</v>
      </c>
    </row>
    <row r="169" spans="2:11" x14ac:dyDescent="0.2">
      <c r="B169" s="83"/>
      <c r="C169" s="2"/>
      <c r="D169" s="45"/>
      <c r="E169" s="2"/>
      <c r="F169" s="9">
        <f t="shared" si="10"/>
        <v>0</v>
      </c>
    </row>
    <row r="170" spans="2:11" x14ac:dyDescent="0.2">
      <c r="B170" s="83"/>
      <c r="C170" s="2"/>
      <c r="D170" s="45"/>
      <c r="E170" s="2"/>
      <c r="F170" s="9">
        <f t="shared" si="10"/>
        <v>0</v>
      </c>
    </row>
    <row r="171" spans="2:11" ht="18" customHeight="1" x14ac:dyDescent="0.2">
      <c r="B171" s="83"/>
      <c r="C171" s="2"/>
      <c r="D171" s="45"/>
      <c r="E171" s="2"/>
      <c r="F171" s="9">
        <f t="shared" si="10"/>
        <v>0</v>
      </c>
    </row>
    <row r="172" spans="2:11" x14ac:dyDescent="0.2">
      <c r="B172" s="84"/>
      <c r="C172" s="2"/>
      <c r="D172" s="45"/>
      <c r="E172" s="2"/>
      <c r="F172" s="9">
        <f t="shared" si="10"/>
        <v>0</v>
      </c>
    </row>
    <row r="173" spans="2:11" x14ac:dyDescent="0.2">
      <c r="B173" s="83"/>
      <c r="C173" s="2"/>
      <c r="D173" s="45"/>
      <c r="E173" s="2"/>
      <c r="F173" s="9">
        <f t="shared" si="10"/>
        <v>0</v>
      </c>
    </row>
    <row r="174" spans="2:11" x14ac:dyDescent="0.2">
      <c r="B174" s="83"/>
      <c r="C174" s="2"/>
      <c r="D174" s="45"/>
      <c r="E174" s="2"/>
      <c r="F174" s="9">
        <f t="shared" si="10"/>
        <v>0</v>
      </c>
    </row>
    <row r="175" spans="2:11" x14ac:dyDescent="0.2">
      <c r="B175" s="83"/>
      <c r="C175" s="2"/>
      <c r="D175" s="45"/>
      <c r="E175" s="2"/>
      <c r="F175" s="9">
        <f t="shared" si="10"/>
        <v>0</v>
      </c>
    </row>
    <row r="176" spans="2:11" x14ac:dyDescent="0.2">
      <c r="B176" s="83"/>
      <c r="C176" s="2"/>
      <c r="D176" s="45"/>
      <c r="E176" s="2"/>
      <c r="F176" s="9">
        <f t="shared" si="10"/>
        <v>0</v>
      </c>
    </row>
    <row r="177" spans="1:6" x14ac:dyDescent="0.2">
      <c r="B177" s="83"/>
      <c r="C177" s="2"/>
      <c r="D177" s="45"/>
      <c r="E177" s="2"/>
      <c r="F177" s="9">
        <f t="shared" si="10"/>
        <v>0</v>
      </c>
    </row>
    <row r="178" spans="1:6" x14ac:dyDescent="0.2">
      <c r="B178" s="83"/>
      <c r="C178" s="2"/>
      <c r="D178" s="45"/>
      <c r="E178" s="2"/>
      <c r="F178" s="9">
        <f t="shared" si="10"/>
        <v>0</v>
      </c>
    </row>
    <row r="179" spans="1:6" x14ac:dyDescent="0.2">
      <c r="B179" s="83"/>
      <c r="C179" s="2"/>
      <c r="D179" s="45"/>
      <c r="E179" s="2"/>
      <c r="F179" s="9">
        <f t="shared" si="10"/>
        <v>0</v>
      </c>
    </row>
    <row r="180" spans="1:6" x14ac:dyDescent="0.2">
      <c r="B180" s="83"/>
      <c r="C180" s="56"/>
      <c r="D180" s="45"/>
      <c r="E180" s="2"/>
      <c r="F180" s="9">
        <f t="shared" si="10"/>
        <v>0</v>
      </c>
    </row>
    <row r="181" spans="1:6" x14ac:dyDescent="0.2">
      <c r="B181" s="8"/>
      <c r="C181" s="159"/>
      <c r="D181" s="160"/>
      <c r="E181" s="161"/>
      <c r="F181" s="70"/>
    </row>
    <row r="182" spans="1:6" ht="15.75" thickBot="1" x14ac:dyDescent="0.25">
      <c r="B182" s="144"/>
      <c r="C182" s="145"/>
      <c r="D182" s="145"/>
      <c r="E182" s="146"/>
      <c r="F182" s="67">
        <f>SUM(F147:F181)</f>
        <v>260000</v>
      </c>
    </row>
    <row r="183" spans="1:6" x14ac:dyDescent="0.2">
      <c r="B183" s="165" t="s">
        <v>7</v>
      </c>
      <c r="C183" s="166"/>
      <c r="D183" s="166"/>
      <c r="E183" s="167"/>
      <c r="F183" s="81">
        <v>45000</v>
      </c>
    </row>
    <row r="184" spans="1:6" x14ac:dyDescent="0.2">
      <c r="B184" s="147" t="s">
        <v>8</v>
      </c>
      <c r="C184" s="148"/>
      <c r="D184" s="148"/>
      <c r="E184" s="149"/>
      <c r="F184" s="28">
        <f>F182+F183</f>
        <v>305000</v>
      </c>
    </row>
    <row r="185" spans="1:6" x14ac:dyDescent="0.2">
      <c r="B185" s="147" t="s">
        <v>9</v>
      </c>
      <c r="C185" s="148"/>
      <c r="D185" s="148"/>
      <c r="E185" s="149"/>
      <c r="F185" s="39">
        <v>255000</v>
      </c>
    </row>
    <row r="186" spans="1:6" ht="15.75" thickBot="1" x14ac:dyDescent="0.25">
      <c r="B186" s="150" t="s">
        <v>10</v>
      </c>
      <c r="C186" s="151"/>
      <c r="D186" s="151"/>
      <c r="E186" s="152"/>
      <c r="F186" s="12">
        <f>F185-F184</f>
        <v>-50000</v>
      </c>
    </row>
    <row r="187" spans="1:6" ht="15.75" thickBot="1" x14ac:dyDescent="0.25"/>
    <row r="188" spans="1:6" x14ac:dyDescent="0.2">
      <c r="A188" s="27" t="s">
        <v>29</v>
      </c>
      <c r="B188" s="6" t="s">
        <v>2</v>
      </c>
      <c r="C188" s="156">
        <f>C142</f>
        <v>46315</v>
      </c>
      <c r="D188" s="157"/>
      <c r="E188" s="157"/>
      <c r="F188" s="158"/>
    </row>
    <row r="189" spans="1:6" x14ac:dyDescent="0.2">
      <c r="B189" s="7" t="s">
        <v>0</v>
      </c>
      <c r="C189" s="142" t="s">
        <v>93</v>
      </c>
      <c r="D189" s="142"/>
      <c r="E189" s="142"/>
      <c r="F189" s="143"/>
    </row>
    <row r="190" spans="1:6" x14ac:dyDescent="0.2">
      <c r="B190" s="7" t="s">
        <v>1</v>
      </c>
      <c r="C190" s="142"/>
      <c r="D190" s="142"/>
      <c r="E190" s="142"/>
      <c r="F190" s="143"/>
    </row>
    <row r="191" spans="1:6" ht="15.75" thickBot="1" x14ac:dyDescent="0.25">
      <c r="B191" s="7"/>
      <c r="C191" s="162"/>
      <c r="D191" s="162"/>
      <c r="E191" s="162"/>
      <c r="F191" s="163"/>
    </row>
    <row r="192" spans="1:6" x14ac:dyDescent="0.2">
      <c r="B192" s="91" t="s">
        <v>108</v>
      </c>
      <c r="C192" s="92" t="s">
        <v>3</v>
      </c>
      <c r="D192" s="92" t="s">
        <v>4</v>
      </c>
      <c r="E192" s="93"/>
      <c r="F192" s="94" t="s">
        <v>5</v>
      </c>
    </row>
    <row r="193" spans="2:6" x14ac:dyDescent="0.2">
      <c r="B193" s="8">
        <v>30</v>
      </c>
      <c r="C193" s="35" t="s">
        <v>67</v>
      </c>
      <c r="D193" s="60"/>
      <c r="E193" s="2">
        <v>3750</v>
      </c>
      <c r="F193" s="9">
        <f t="shared" ref="F193:F226" si="11">(B193-D193) *E193</f>
        <v>112500</v>
      </c>
    </row>
    <row r="194" spans="2:6" x14ac:dyDescent="0.2">
      <c r="B194" s="84"/>
      <c r="C194" s="1" t="s">
        <v>14</v>
      </c>
      <c r="D194" s="80"/>
      <c r="E194" s="56">
        <v>9250</v>
      </c>
      <c r="F194" s="81">
        <f t="shared" si="11"/>
        <v>0</v>
      </c>
    </row>
    <row r="195" spans="2:6" x14ac:dyDescent="0.2">
      <c r="B195" s="83"/>
      <c r="C195" s="1" t="s">
        <v>15</v>
      </c>
      <c r="D195" s="45"/>
      <c r="E195" s="2">
        <v>4750</v>
      </c>
      <c r="F195" s="9">
        <f t="shared" si="11"/>
        <v>0</v>
      </c>
    </row>
    <row r="196" spans="2:6" x14ac:dyDescent="0.2">
      <c r="B196" s="83"/>
      <c r="C196" s="1" t="s">
        <v>62</v>
      </c>
      <c r="D196" s="45"/>
      <c r="E196" s="2">
        <v>17000</v>
      </c>
      <c r="F196" s="9">
        <f t="shared" si="11"/>
        <v>0</v>
      </c>
    </row>
    <row r="197" spans="2:6" x14ac:dyDescent="0.2">
      <c r="B197" s="83"/>
      <c r="C197" s="1" t="s">
        <v>18</v>
      </c>
      <c r="D197" s="45"/>
      <c r="E197" s="2"/>
      <c r="F197" s="9">
        <f t="shared" si="11"/>
        <v>0</v>
      </c>
    </row>
    <row r="198" spans="2:6" x14ac:dyDescent="0.2">
      <c r="B198" s="83"/>
      <c r="C198" s="1" t="s">
        <v>139</v>
      </c>
      <c r="D198" s="45"/>
      <c r="E198" s="2"/>
      <c r="F198" s="9">
        <f t="shared" si="11"/>
        <v>0</v>
      </c>
    </row>
    <row r="199" spans="2:6" x14ac:dyDescent="0.2">
      <c r="B199" s="83"/>
      <c r="C199" s="1" t="s">
        <v>123</v>
      </c>
      <c r="D199" s="45"/>
      <c r="E199" s="2"/>
      <c r="F199" s="9">
        <f t="shared" si="11"/>
        <v>0</v>
      </c>
    </row>
    <row r="200" spans="2:6" x14ac:dyDescent="0.2">
      <c r="B200" s="83"/>
      <c r="C200" s="1" t="s">
        <v>151</v>
      </c>
      <c r="D200" s="45"/>
      <c r="E200" s="2"/>
      <c r="F200" s="9">
        <f t="shared" si="11"/>
        <v>0</v>
      </c>
    </row>
    <row r="201" spans="2:6" x14ac:dyDescent="0.2">
      <c r="B201" s="83">
        <v>100</v>
      </c>
      <c r="C201" s="2" t="s">
        <v>74</v>
      </c>
      <c r="D201" s="45"/>
      <c r="E201" s="2">
        <v>3700</v>
      </c>
      <c r="F201" s="9">
        <f>(B201-D201) *E201</f>
        <v>370000</v>
      </c>
    </row>
    <row r="202" spans="2:6" x14ac:dyDescent="0.2">
      <c r="B202" s="83"/>
      <c r="C202" s="2" t="s">
        <v>79</v>
      </c>
      <c r="D202" s="45"/>
      <c r="E202" s="2">
        <v>4500</v>
      </c>
      <c r="F202" s="9">
        <f t="shared" si="11"/>
        <v>0</v>
      </c>
    </row>
    <row r="203" spans="2:6" x14ac:dyDescent="0.2">
      <c r="B203" s="83"/>
      <c r="C203" s="2" t="s">
        <v>145</v>
      </c>
      <c r="D203" s="45"/>
      <c r="E203" s="2">
        <v>3700</v>
      </c>
      <c r="F203" s="9">
        <f t="shared" si="11"/>
        <v>0</v>
      </c>
    </row>
    <row r="204" spans="2:6" x14ac:dyDescent="0.2">
      <c r="B204" s="83"/>
      <c r="C204" s="2" t="s">
        <v>152</v>
      </c>
      <c r="D204" s="60"/>
      <c r="E204" s="2">
        <v>54000</v>
      </c>
      <c r="F204" s="9">
        <f t="shared" si="11"/>
        <v>0</v>
      </c>
    </row>
    <row r="205" spans="2:6" x14ac:dyDescent="0.2">
      <c r="B205" s="83">
        <v>0.5</v>
      </c>
      <c r="C205" s="2" t="s">
        <v>194</v>
      </c>
      <c r="D205" s="60"/>
      <c r="E205" s="2">
        <v>172000</v>
      </c>
      <c r="F205" s="9">
        <f t="shared" si="11"/>
        <v>86000</v>
      </c>
    </row>
    <row r="206" spans="2:6" x14ac:dyDescent="0.2">
      <c r="B206" s="83"/>
      <c r="C206" s="2" t="s">
        <v>174</v>
      </c>
      <c r="D206" s="60"/>
      <c r="E206" s="2"/>
      <c r="F206" s="9">
        <f t="shared" si="11"/>
        <v>0</v>
      </c>
    </row>
    <row r="207" spans="2:6" x14ac:dyDescent="0.2">
      <c r="B207" s="85"/>
      <c r="C207" s="2" t="s">
        <v>175</v>
      </c>
      <c r="D207" s="60"/>
      <c r="E207" s="2">
        <v>23100</v>
      </c>
      <c r="F207" s="9">
        <f t="shared" si="11"/>
        <v>0</v>
      </c>
    </row>
    <row r="208" spans="2:6" x14ac:dyDescent="0.2">
      <c r="B208" s="83"/>
      <c r="C208" s="2" t="s">
        <v>172</v>
      </c>
      <c r="D208" s="45"/>
      <c r="E208" s="2">
        <v>180000</v>
      </c>
      <c r="F208" s="9">
        <f t="shared" si="11"/>
        <v>0</v>
      </c>
    </row>
    <row r="209" spans="2:6" x14ac:dyDescent="0.2">
      <c r="B209" s="83">
        <v>1</v>
      </c>
      <c r="C209" s="56" t="s">
        <v>142</v>
      </c>
      <c r="D209" s="45"/>
      <c r="E209" s="2">
        <v>175000</v>
      </c>
      <c r="F209" s="9">
        <f t="shared" si="11"/>
        <v>175000</v>
      </c>
    </row>
    <row r="210" spans="2:6" x14ac:dyDescent="0.2">
      <c r="B210" s="83"/>
      <c r="C210" s="2" t="s">
        <v>146</v>
      </c>
      <c r="D210" s="45"/>
      <c r="E210" s="2">
        <v>9000</v>
      </c>
      <c r="F210" s="9">
        <f>(B210-D210) *E210</f>
        <v>0</v>
      </c>
    </row>
    <row r="211" spans="2:6" x14ac:dyDescent="0.2">
      <c r="B211" s="83"/>
      <c r="C211" s="2" t="s">
        <v>121</v>
      </c>
      <c r="D211" s="45"/>
      <c r="E211" s="2">
        <v>185000</v>
      </c>
      <c r="F211" s="9">
        <f t="shared" si="11"/>
        <v>0</v>
      </c>
    </row>
    <row r="212" spans="2:6" x14ac:dyDescent="0.2">
      <c r="B212" s="83"/>
      <c r="C212" s="2" t="s">
        <v>122</v>
      </c>
      <c r="D212" s="45"/>
      <c r="E212" s="2">
        <v>184000</v>
      </c>
      <c r="F212" s="9">
        <f t="shared" si="11"/>
        <v>0</v>
      </c>
    </row>
    <row r="213" spans="2:6" x14ac:dyDescent="0.2">
      <c r="B213" s="83"/>
      <c r="C213" s="2" t="s">
        <v>143</v>
      </c>
      <c r="D213" s="45"/>
      <c r="E213" s="2">
        <v>162000</v>
      </c>
      <c r="F213" s="9">
        <f t="shared" si="11"/>
        <v>0</v>
      </c>
    </row>
    <row r="214" spans="2:6" x14ac:dyDescent="0.2">
      <c r="B214" s="83"/>
      <c r="C214" s="2" t="s">
        <v>126</v>
      </c>
      <c r="D214" s="45"/>
      <c r="E214" s="2">
        <v>110000</v>
      </c>
      <c r="F214" s="9">
        <f t="shared" si="11"/>
        <v>0</v>
      </c>
    </row>
    <row r="215" spans="2:6" x14ac:dyDescent="0.2">
      <c r="B215" s="83"/>
      <c r="C215" s="2" t="s">
        <v>153</v>
      </c>
      <c r="D215" s="45"/>
      <c r="E215" s="2">
        <v>225000</v>
      </c>
      <c r="F215" s="9">
        <f t="shared" si="11"/>
        <v>0</v>
      </c>
    </row>
    <row r="216" spans="2:6" x14ac:dyDescent="0.2">
      <c r="B216" s="83"/>
      <c r="C216" s="2" t="s">
        <v>141</v>
      </c>
      <c r="D216" s="45"/>
      <c r="E216" s="2"/>
      <c r="F216" s="9">
        <f t="shared" si="11"/>
        <v>0</v>
      </c>
    </row>
    <row r="217" spans="2:6" x14ac:dyDescent="0.2">
      <c r="B217" s="83"/>
      <c r="C217" s="2" t="s">
        <v>144</v>
      </c>
      <c r="D217" s="45"/>
      <c r="E217" s="2"/>
      <c r="F217" s="9">
        <f>(B217-D217) *E217</f>
        <v>0</v>
      </c>
    </row>
    <row r="218" spans="2:6" x14ac:dyDescent="0.2">
      <c r="B218" s="84"/>
      <c r="C218" s="2" t="s">
        <v>147</v>
      </c>
      <c r="D218" s="45"/>
      <c r="E218" s="2">
        <v>7000</v>
      </c>
      <c r="F218" s="9">
        <f t="shared" si="11"/>
        <v>0</v>
      </c>
    </row>
    <row r="219" spans="2:6" x14ac:dyDescent="0.2">
      <c r="B219" s="83"/>
      <c r="C219" s="2" t="s">
        <v>173</v>
      </c>
      <c r="D219" s="45"/>
      <c r="E219" s="2">
        <v>207000</v>
      </c>
      <c r="F219" s="9">
        <f t="shared" si="11"/>
        <v>0</v>
      </c>
    </row>
    <row r="220" spans="2:6" x14ac:dyDescent="0.2">
      <c r="B220" s="83"/>
      <c r="C220" s="2" t="s">
        <v>159</v>
      </c>
      <c r="D220" s="45"/>
      <c r="E220" s="2"/>
      <c r="F220" s="9">
        <f t="shared" si="11"/>
        <v>0</v>
      </c>
    </row>
    <row r="221" spans="2:6" x14ac:dyDescent="0.2">
      <c r="B221" s="83"/>
      <c r="C221" s="2" t="s">
        <v>148</v>
      </c>
      <c r="D221" s="45"/>
      <c r="E221" s="2"/>
      <c r="F221" s="9">
        <f t="shared" si="11"/>
        <v>0</v>
      </c>
    </row>
    <row r="222" spans="2:6" x14ac:dyDescent="0.2">
      <c r="B222" s="83"/>
      <c r="C222" s="2"/>
      <c r="D222" s="45"/>
      <c r="E222" s="2"/>
      <c r="F222" s="9">
        <f t="shared" si="11"/>
        <v>0</v>
      </c>
    </row>
    <row r="223" spans="2:6" x14ac:dyDescent="0.2">
      <c r="B223" s="83"/>
      <c r="C223" s="2"/>
      <c r="D223" s="45"/>
      <c r="E223" s="2"/>
      <c r="F223" s="9">
        <f t="shared" si="11"/>
        <v>0</v>
      </c>
    </row>
    <row r="224" spans="2:6" x14ac:dyDescent="0.2">
      <c r="B224" s="83"/>
      <c r="C224" s="2"/>
      <c r="D224" s="45"/>
      <c r="E224" s="2"/>
      <c r="F224" s="9">
        <f t="shared" si="11"/>
        <v>0</v>
      </c>
    </row>
    <row r="225" spans="1:6" x14ac:dyDescent="0.2">
      <c r="B225" s="83"/>
      <c r="C225" s="2"/>
      <c r="D225" s="45"/>
      <c r="E225" s="2"/>
      <c r="F225" s="9">
        <f t="shared" si="11"/>
        <v>0</v>
      </c>
    </row>
    <row r="226" spans="1:6" x14ac:dyDescent="0.2">
      <c r="B226" s="83"/>
      <c r="C226" s="56"/>
      <c r="D226" s="45"/>
      <c r="E226" s="2"/>
      <c r="F226" s="9">
        <f t="shared" si="11"/>
        <v>0</v>
      </c>
    </row>
    <row r="227" spans="1:6" x14ac:dyDescent="0.2">
      <c r="B227" s="8"/>
      <c r="C227" s="159"/>
      <c r="D227" s="160"/>
      <c r="E227" s="161"/>
      <c r="F227" s="70"/>
    </row>
    <row r="228" spans="1:6" ht="15.75" thickBot="1" x14ac:dyDescent="0.25">
      <c r="B228" s="144"/>
      <c r="C228" s="145"/>
      <c r="D228" s="145"/>
      <c r="E228" s="146"/>
      <c r="F228" s="67">
        <f>SUM(F193:F227)</f>
        <v>743500</v>
      </c>
    </row>
    <row r="229" spans="1:6" x14ac:dyDescent="0.2">
      <c r="B229" s="153" t="s">
        <v>7</v>
      </c>
      <c r="C229" s="154"/>
      <c r="D229" s="154"/>
      <c r="E229" s="155"/>
      <c r="F229" s="17"/>
    </row>
    <row r="230" spans="1:6" x14ac:dyDescent="0.2">
      <c r="B230" s="147" t="s">
        <v>8</v>
      </c>
      <c r="C230" s="148"/>
      <c r="D230" s="148"/>
      <c r="E230" s="149"/>
      <c r="F230" s="28">
        <f>F228+F229</f>
        <v>743500</v>
      </c>
    </row>
    <row r="231" spans="1:6" x14ac:dyDescent="0.2">
      <c r="B231" s="147" t="s">
        <v>9</v>
      </c>
      <c r="C231" s="148"/>
      <c r="D231" s="148"/>
      <c r="E231" s="149"/>
      <c r="F231" s="39">
        <v>743000</v>
      </c>
    </row>
    <row r="232" spans="1:6" ht="15.75" thickBot="1" x14ac:dyDescent="0.25">
      <c r="B232" s="150" t="s">
        <v>10</v>
      </c>
      <c r="C232" s="151"/>
      <c r="D232" s="151"/>
      <c r="E232" s="152"/>
      <c r="F232" s="12">
        <f>F231-F230</f>
        <v>-500</v>
      </c>
    </row>
    <row r="233" spans="1:6" ht="15.75" thickBot="1" x14ac:dyDescent="0.25"/>
    <row r="234" spans="1:6" x14ac:dyDescent="0.2">
      <c r="A234" s="27" t="s">
        <v>30</v>
      </c>
      <c r="B234" s="6" t="s">
        <v>2</v>
      </c>
      <c r="C234" s="156">
        <f>C188</f>
        <v>46315</v>
      </c>
      <c r="D234" s="157"/>
      <c r="E234" s="157"/>
      <c r="F234" s="158"/>
    </row>
    <row r="235" spans="1:6" x14ac:dyDescent="0.2">
      <c r="B235" s="7" t="s">
        <v>0</v>
      </c>
      <c r="C235" s="142" t="s">
        <v>94</v>
      </c>
      <c r="D235" s="142"/>
      <c r="E235" s="142"/>
      <c r="F235" s="143"/>
    </row>
    <row r="236" spans="1:6" x14ac:dyDescent="0.2">
      <c r="B236" s="7" t="s">
        <v>1</v>
      </c>
      <c r="C236" s="142" t="s">
        <v>54</v>
      </c>
      <c r="D236" s="142"/>
      <c r="E236" s="142"/>
      <c r="F236" s="143"/>
    </row>
    <row r="237" spans="1:6" ht="15.75" thickBot="1" x14ac:dyDescent="0.25">
      <c r="B237" s="7"/>
      <c r="C237" s="162"/>
      <c r="D237" s="162"/>
      <c r="E237" s="162"/>
      <c r="F237" s="163"/>
    </row>
    <row r="238" spans="1:6" x14ac:dyDescent="0.2">
      <c r="B238" s="91" t="s">
        <v>161</v>
      </c>
      <c r="C238" s="92" t="s">
        <v>3</v>
      </c>
      <c r="D238" s="92" t="s">
        <v>4</v>
      </c>
      <c r="E238" s="93"/>
      <c r="F238" s="94" t="s">
        <v>5</v>
      </c>
    </row>
    <row r="239" spans="1:6" x14ac:dyDescent="0.2">
      <c r="B239" s="8"/>
      <c r="C239" s="35" t="s">
        <v>67</v>
      </c>
      <c r="D239" s="60"/>
      <c r="E239" s="2">
        <v>3750</v>
      </c>
      <c r="F239" s="9">
        <f t="shared" ref="F239:F272" si="12">(B239-D239) *E239</f>
        <v>0</v>
      </c>
    </row>
    <row r="240" spans="1:6" x14ac:dyDescent="0.2">
      <c r="B240" s="84"/>
      <c r="C240" s="1" t="s">
        <v>14</v>
      </c>
      <c r="D240" s="80"/>
      <c r="E240" s="56">
        <v>9250</v>
      </c>
      <c r="F240" s="81">
        <f t="shared" si="12"/>
        <v>0</v>
      </c>
    </row>
    <row r="241" spans="2:6" x14ac:dyDescent="0.2">
      <c r="B241" s="83"/>
      <c r="C241" s="1" t="s">
        <v>15</v>
      </c>
      <c r="D241" s="45"/>
      <c r="E241" s="2">
        <v>4750</v>
      </c>
      <c r="F241" s="9">
        <f t="shared" si="12"/>
        <v>0</v>
      </c>
    </row>
    <row r="242" spans="2:6" x14ac:dyDescent="0.2">
      <c r="B242" s="83"/>
      <c r="C242" s="1" t="s">
        <v>62</v>
      </c>
      <c r="D242" s="45"/>
      <c r="E242" s="2">
        <v>17000</v>
      </c>
      <c r="F242" s="9">
        <f t="shared" si="12"/>
        <v>0</v>
      </c>
    </row>
    <row r="243" spans="2:6" x14ac:dyDescent="0.2">
      <c r="B243" s="83">
        <v>1</v>
      </c>
      <c r="C243" s="1" t="s">
        <v>18</v>
      </c>
      <c r="D243" s="45"/>
      <c r="E243" s="2">
        <v>78000</v>
      </c>
      <c r="F243" s="9">
        <f t="shared" si="12"/>
        <v>78000</v>
      </c>
    </row>
    <row r="244" spans="2:6" x14ac:dyDescent="0.2">
      <c r="B244" s="83"/>
      <c r="C244" s="1" t="s">
        <v>139</v>
      </c>
      <c r="D244" s="45"/>
      <c r="E244" s="2">
        <v>85000</v>
      </c>
      <c r="F244" s="9">
        <f t="shared" si="12"/>
        <v>0</v>
      </c>
    </row>
    <row r="245" spans="2:6" x14ac:dyDescent="0.2">
      <c r="B245" s="83"/>
      <c r="C245" s="1" t="s">
        <v>197</v>
      </c>
      <c r="D245" s="45"/>
      <c r="E245" s="2">
        <v>2200</v>
      </c>
      <c r="F245" s="9">
        <f t="shared" si="12"/>
        <v>0</v>
      </c>
    </row>
    <row r="246" spans="2:6" x14ac:dyDescent="0.2">
      <c r="B246" s="83"/>
      <c r="C246" s="1" t="s">
        <v>197</v>
      </c>
      <c r="D246" s="45"/>
      <c r="E246" s="2">
        <v>17000</v>
      </c>
      <c r="F246" s="9">
        <f t="shared" si="12"/>
        <v>0</v>
      </c>
    </row>
    <row r="247" spans="2:6" x14ac:dyDescent="0.2">
      <c r="B247" s="83">
        <v>50</v>
      </c>
      <c r="C247" s="2" t="s">
        <v>74</v>
      </c>
      <c r="D247" s="45"/>
      <c r="E247" s="2">
        <v>3700</v>
      </c>
      <c r="F247" s="9">
        <f t="shared" si="12"/>
        <v>185000</v>
      </c>
    </row>
    <row r="248" spans="2:6" x14ac:dyDescent="0.2">
      <c r="B248" s="83"/>
      <c r="C248" s="2" t="s">
        <v>79</v>
      </c>
      <c r="D248" s="45"/>
      <c r="E248" s="2">
        <v>4500</v>
      </c>
      <c r="F248" s="9">
        <f t="shared" si="12"/>
        <v>0</v>
      </c>
    </row>
    <row r="249" spans="2:6" x14ac:dyDescent="0.2">
      <c r="B249" s="83"/>
      <c r="C249" s="2" t="s">
        <v>145</v>
      </c>
      <c r="D249" s="45"/>
      <c r="E249" s="2">
        <v>3700</v>
      </c>
      <c r="F249" s="9">
        <f t="shared" si="12"/>
        <v>0</v>
      </c>
    </row>
    <row r="250" spans="2:6" x14ac:dyDescent="0.2">
      <c r="B250" s="83"/>
      <c r="C250" s="2" t="s">
        <v>152</v>
      </c>
      <c r="D250" s="60"/>
      <c r="E250" s="2">
        <v>54000</v>
      </c>
      <c r="F250" s="9">
        <f t="shared" si="12"/>
        <v>0</v>
      </c>
    </row>
    <row r="251" spans="2:6" x14ac:dyDescent="0.2">
      <c r="B251" s="83">
        <v>1</v>
      </c>
      <c r="C251" s="2" t="s">
        <v>194</v>
      </c>
      <c r="D251" s="60"/>
      <c r="E251" s="2">
        <v>172000</v>
      </c>
      <c r="F251" s="9">
        <f t="shared" si="12"/>
        <v>172000</v>
      </c>
    </row>
    <row r="252" spans="2:6" x14ac:dyDescent="0.2">
      <c r="B252" s="83"/>
      <c r="C252" s="2" t="s">
        <v>174</v>
      </c>
      <c r="D252" s="60"/>
      <c r="E252" s="2">
        <v>4700</v>
      </c>
      <c r="F252" s="9">
        <f t="shared" si="12"/>
        <v>0</v>
      </c>
    </row>
    <row r="253" spans="2:6" x14ac:dyDescent="0.2">
      <c r="B253" s="85"/>
      <c r="C253" s="2" t="s">
        <v>175</v>
      </c>
      <c r="D253" s="60"/>
      <c r="E253" s="2">
        <v>23800</v>
      </c>
      <c r="F253" s="9">
        <f t="shared" si="12"/>
        <v>0</v>
      </c>
    </row>
    <row r="254" spans="2:6" x14ac:dyDescent="0.2">
      <c r="B254" s="83"/>
      <c r="C254" s="2" t="s">
        <v>172</v>
      </c>
      <c r="D254" s="45"/>
      <c r="E254" s="2">
        <v>180000</v>
      </c>
      <c r="F254" s="9">
        <f t="shared" si="12"/>
        <v>0</v>
      </c>
    </row>
    <row r="255" spans="2:6" x14ac:dyDescent="0.2">
      <c r="B255" s="83"/>
      <c r="C255" s="56" t="s">
        <v>142</v>
      </c>
      <c r="D255" s="45"/>
      <c r="E255" s="2">
        <v>175000</v>
      </c>
      <c r="F255" s="9">
        <f t="shared" si="12"/>
        <v>0</v>
      </c>
    </row>
    <row r="256" spans="2:6" x14ac:dyDescent="0.2">
      <c r="B256" s="83"/>
      <c r="C256" s="2" t="s">
        <v>146</v>
      </c>
      <c r="D256" s="45"/>
      <c r="E256" s="2">
        <v>9000</v>
      </c>
      <c r="F256" s="9">
        <f t="shared" si="12"/>
        <v>0</v>
      </c>
    </row>
    <row r="257" spans="2:6" x14ac:dyDescent="0.2">
      <c r="B257" s="83"/>
      <c r="C257" s="2" t="s">
        <v>121</v>
      </c>
      <c r="D257" s="45"/>
      <c r="E257" s="2">
        <v>188000</v>
      </c>
      <c r="F257" s="9">
        <f t="shared" si="12"/>
        <v>0</v>
      </c>
    </row>
    <row r="258" spans="2:6" x14ac:dyDescent="0.2">
      <c r="B258" s="83"/>
      <c r="C258" s="2" t="s">
        <v>122</v>
      </c>
      <c r="D258" s="45"/>
      <c r="E258" s="2">
        <v>186000</v>
      </c>
      <c r="F258" s="9">
        <f t="shared" si="12"/>
        <v>0</v>
      </c>
    </row>
    <row r="259" spans="2:6" x14ac:dyDescent="0.2">
      <c r="B259" s="83"/>
      <c r="C259" s="2" t="s">
        <v>143</v>
      </c>
      <c r="D259" s="45"/>
      <c r="E259" s="2">
        <v>162000</v>
      </c>
      <c r="F259" s="9">
        <f t="shared" si="12"/>
        <v>0</v>
      </c>
    </row>
    <row r="260" spans="2:6" x14ac:dyDescent="0.2">
      <c r="B260" s="83"/>
      <c r="C260" s="2" t="s">
        <v>126</v>
      </c>
      <c r="D260" s="45"/>
      <c r="E260" s="2">
        <v>110000</v>
      </c>
      <c r="F260" s="9">
        <f t="shared" si="12"/>
        <v>0</v>
      </c>
    </row>
    <row r="261" spans="2:6" x14ac:dyDescent="0.2">
      <c r="B261" s="83"/>
      <c r="C261" s="2" t="s">
        <v>153</v>
      </c>
      <c r="D261" s="45"/>
      <c r="E261" s="2">
        <v>225000</v>
      </c>
      <c r="F261" s="9">
        <f t="shared" si="12"/>
        <v>0</v>
      </c>
    </row>
    <row r="262" spans="2:6" x14ac:dyDescent="0.2">
      <c r="B262" s="83"/>
      <c r="C262" s="2" t="s">
        <v>141</v>
      </c>
      <c r="D262" s="45"/>
      <c r="E262" s="2">
        <v>21500</v>
      </c>
      <c r="F262" s="9">
        <f t="shared" si="12"/>
        <v>0</v>
      </c>
    </row>
    <row r="263" spans="2:6" x14ac:dyDescent="0.2">
      <c r="B263" s="83"/>
      <c r="C263" s="2" t="s">
        <v>144</v>
      </c>
      <c r="D263" s="45"/>
      <c r="E263" s="2">
        <v>22500</v>
      </c>
      <c r="F263" s="9">
        <f t="shared" si="12"/>
        <v>0</v>
      </c>
    </row>
    <row r="264" spans="2:6" x14ac:dyDescent="0.2">
      <c r="B264" s="84"/>
      <c r="C264" s="2" t="s">
        <v>147</v>
      </c>
      <c r="D264" s="45"/>
      <c r="E264" s="2">
        <v>7000</v>
      </c>
      <c r="F264" s="9">
        <f t="shared" si="12"/>
        <v>0</v>
      </c>
    </row>
    <row r="265" spans="2:6" x14ac:dyDescent="0.2">
      <c r="B265" s="83"/>
      <c r="C265" s="2" t="s">
        <v>173</v>
      </c>
      <c r="D265" s="45"/>
      <c r="E265" s="2">
        <v>207000</v>
      </c>
      <c r="F265" s="9">
        <f t="shared" si="12"/>
        <v>0</v>
      </c>
    </row>
    <row r="266" spans="2:6" x14ac:dyDescent="0.2">
      <c r="B266" s="83"/>
      <c r="C266" s="2" t="s">
        <v>159</v>
      </c>
      <c r="D266" s="45"/>
      <c r="E266" s="2"/>
      <c r="F266" s="9">
        <f t="shared" si="12"/>
        <v>0</v>
      </c>
    </row>
    <row r="267" spans="2:6" x14ac:dyDescent="0.2">
      <c r="B267" s="83">
        <v>1</v>
      </c>
      <c r="C267" s="2" t="s">
        <v>148</v>
      </c>
      <c r="D267" s="45"/>
      <c r="E267" s="2">
        <v>220000</v>
      </c>
      <c r="F267" s="9">
        <f t="shared" si="12"/>
        <v>220000</v>
      </c>
    </row>
    <row r="268" spans="2:6" x14ac:dyDescent="0.2">
      <c r="B268" s="83">
        <v>6</v>
      </c>
      <c r="C268" s="2" t="s">
        <v>188</v>
      </c>
      <c r="D268" s="45"/>
      <c r="E268" s="2">
        <v>22500</v>
      </c>
      <c r="F268" s="9">
        <f t="shared" si="12"/>
        <v>135000</v>
      </c>
    </row>
    <row r="269" spans="2:6" x14ac:dyDescent="0.2">
      <c r="B269" s="83"/>
      <c r="C269" s="2"/>
      <c r="D269" s="45"/>
      <c r="E269" s="2"/>
      <c r="F269" s="9">
        <f t="shared" si="12"/>
        <v>0</v>
      </c>
    </row>
    <row r="270" spans="2:6" x14ac:dyDescent="0.2">
      <c r="B270" s="83"/>
      <c r="C270" s="2"/>
      <c r="D270" s="45"/>
      <c r="E270" s="2"/>
      <c r="F270" s="9">
        <f t="shared" si="12"/>
        <v>0</v>
      </c>
    </row>
    <row r="271" spans="2:6" x14ac:dyDescent="0.2">
      <c r="B271" s="83"/>
      <c r="C271" s="2"/>
      <c r="D271" s="45"/>
      <c r="E271" s="2"/>
      <c r="F271" s="9">
        <f t="shared" si="12"/>
        <v>0</v>
      </c>
    </row>
    <row r="272" spans="2:6" x14ac:dyDescent="0.2">
      <c r="B272" s="83"/>
      <c r="C272" s="56"/>
      <c r="D272" s="45"/>
      <c r="E272" s="2"/>
      <c r="F272" s="9">
        <f t="shared" si="12"/>
        <v>0</v>
      </c>
    </row>
    <row r="273" spans="1:6" x14ac:dyDescent="0.2">
      <c r="B273" s="8"/>
      <c r="C273" s="159"/>
      <c r="D273" s="160"/>
      <c r="E273" s="161"/>
      <c r="F273" s="70"/>
    </row>
    <row r="274" spans="1:6" ht="15.75" thickBot="1" x14ac:dyDescent="0.25">
      <c r="B274" s="144"/>
      <c r="C274" s="145"/>
      <c r="D274" s="145"/>
      <c r="E274" s="146"/>
      <c r="F274" s="67">
        <f>SUM(F239:F273)</f>
        <v>790000</v>
      </c>
    </row>
    <row r="275" spans="1:6" x14ac:dyDescent="0.2">
      <c r="B275" s="153" t="s">
        <v>7</v>
      </c>
      <c r="C275" s="154"/>
      <c r="D275" s="154"/>
      <c r="E275" s="155"/>
      <c r="F275" s="17">
        <v>7732000</v>
      </c>
    </row>
    <row r="276" spans="1:6" x14ac:dyDescent="0.2">
      <c r="B276" s="147" t="s">
        <v>8</v>
      </c>
      <c r="C276" s="148"/>
      <c r="D276" s="148"/>
      <c r="E276" s="149"/>
      <c r="F276" s="28">
        <f>F274+F275</f>
        <v>8522000</v>
      </c>
    </row>
    <row r="277" spans="1:6" x14ac:dyDescent="0.2">
      <c r="B277" s="147" t="s">
        <v>9</v>
      </c>
      <c r="C277" s="148"/>
      <c r="D277" s="148"/>
      <c r="E277" s="149"/>
      <c r="F277" s="39"/>
    </row>
    <row r="278" spans="1:6" ht="15.75" thickBot="1" x14ac:dyDescent="0.25">
      <c r="B278" s="150" t="s">
        <v>10</v>
      </c>
      <c r="C278" s="151"/>
      <c r="D278" s="151"/>
      <c r="E278" s="152"/>
      <c r="F278" s="12">
        <f>F277-F276</f>
        <v>-8522000</v>
      </c>
    </row>
    <row r="279" spans="1:6" ht="15.75" thickBot="1" x14ac:dyDescent="0.25"/>
    <row r="280" spans="1:6" x14ac:dyDescent="0.2">
      <c r="A280" s="27" t="s">
        <v>31</v>
      </c>
      <c r="B280" s="6" t="s">
        <v>2</v>
      </c>
      <c r="C280" s="156">
        <f>C234</f>
        <v>46315</v>
      </c>
      <c r="D280" s="157"/>
      <c r="E280" s="157"/>
      <c r="F280" s="158"/>
    </row>
    <row r="281" spans="1:6" x14ac:dyDescent="0.2">
      <c r="B281" s="7" t="s">
        <v>0</v>
      </c>
      <c r="C281" s="142" t="s">
        <v>95</v>
      </c>
      <c r="D281" s="142"/>
      <c r="E281" s="142"/>
      <c r="F281" s="143"/>
    </row>
    <row r="282" spans="1:6" x14ac:dyDescent="0.2">
      <c r="B282" s="7" t="s">
        <v>1</v>
      </c>
      <c r="C282" s="142" t="s">
        <v>54</v>
      </c>
      <c r="D282" s="142"/>
      <c r="E282" s="142"/>
      <c r="F282" s="143"/>
    </row>
    <row r="283" spans="1:6" ht="15.75" thickBot="1" x14ac:dyDescent="0.25">
      <c r="B283" s="7"/>
      <c r="C283" s="162"/>
      <c r="D283" s="162"/>
      <c r="E283" s="162"/>
      <c r="F283" s="163"/>
    </row>
    <row r="284" spans="1:6" x14ac:dyDescent="0.2">
      <c r="B284" s="91" t="s">
        <v>108</v>
      </c>
      <c r="C284" s="92" t="s">
        <v>3</v>
      </c>
      <c r="D284" s="92" t="s">
        <v>4</v>
      </c>
      <c r="E284" s="93"/>
      <c r="F284" s="94" t="s">
        <v>5</v>
      </c>
    </row>
    <row r="285" spans="1:6" x14ac:dyDescent="0.2">
      <c r="B285" s="8"/>
      <c r="C285" s="35" t="s">
        <v>67</v>
      </c>
      <c r="D285" s="60"/>
      <c r="E285" s="2">
        <v>3750</v>
      </c>
      <c r="F285" s="9">
        <f t="shared" ref="F285:F318" si="13">(B285-D285) *E285</f>
        <v>0</v>
      </c>
    </row>
    <row r="286" spans="1:6" x14ac:dyDescent="0.2">
      <c r="B286" s="84"/>
      <c r="C286" s="1" t="s">
        <v>14</v>
      </c>
      <c r="D286" s="80"/>
      <c r="E286" s="56">
        <v>9250</v>
      </c>
      <c r="F286" s="81">
        <f t="shared" si="13"/>
        <v>0</v>
      </c>
    </row>
    <row r="287" spans="1:6" x14ac:dyDescent="0.2">
      <c r="B287" s="83"/>
      <c r="C287" s="1" t="s">
        <v>15</v>
      </c>
      <c r="D287" s="45"/>
      <c r="E287" s="2">
        <v>4750</v>
      </c>
      <c r="F287" s="9">
        <f t="shared" si="13"/>
        <v>0</v>
      </c>
    </row>
    <row r="288" spans="1:6" x14ac:dyDescent="0.2">
      <c r="B288" s="83"/>
      <c r="C288" s="1" t="s">
        <v>62</v>
      </c>
      <c r="D288" s="45"/>
      <c r="E288" s="2">
        <v>17000</v>
      </c>
      <c r="F288" s="9">
        <f t="shared" si="13"/>
        <v>0</v>
      </c>
    </row>
    <row r="289" spans="2:6" x14ac:dyDescent="0.2">
      <c r="B289" s="83"/>
      <c r="C289" s="1" t="s">
        <v>18</v>
      </c>
      <c r="D289" s="45"/>
      <c r="E289" s="2"/>
      <c r="F289" s="9">
        <f t="shared" si="13"/>
        <v>0</v>
      </c>
    </row>
    <row r="290" spans="2:6" x14ac:dyDescent="0.2">
      <c r="B290" s="83"/>
      <c r="C290" s="1" t="s">
        <v>139</v>
      </c>
      <c r="D290" s="45"/>
      <c r="E290" s="2"/>
      <c r="F290" s="9">
        <f t="shared" si="13"/>
        <v>0</v>
      </c>
    </row>
    <row r="291" spans="2:6" x14ac:dyDescent="0.2">
      <c r="B291" s="83"/>
      <c r="C291" s="1" t="s">
        <v>123</v>
      </c>
      <c r="D291" s="45"/>
      <c r="E291" s="2"/>
      <c r="F291" s="9">
        <f t="shared" si="13"/>
        <v>0</v>
      </c>
    </row>
    <row r="292" spans="2:6" x14ac:dyDescent="0.2">
      <c r="B292" s="83"/>
      <c r="C292" s="1" t="s">
        <v>151</v>
      </c>
      <c r="D292" s="45"/>
      <c r="E292" s="2"/>
      <c r="F292" s="9">
        <f t="shared" si="13"/>
        <v>0</v>
      </c>
    </row>
    <row r="293" spans="2:6" x14ac:dyDescent="0.2">
      <c r="B293" s="83"/>
      <c r="C293" s="2" t="s">
        <v>74</v>
      </c>
      <c r="D293" s="45"/>
      <c r="E293" s="2"/>
      <c r="F293" s="9">
        <f t="shared" si="13"/>
        <v>0</v>
      </c>
    </row>
    <row r="294" spans="2:6" x14ac:dyDescent="0.2">
      <c r="B294" s="83"/>
      <c r="C294" s="2" t="s">
        <v>79</v>
      </c>
      <c r="D294" s="45"/>
      <c r="E294" s="2"/>
      <c r="F294" s="9">
        <f t="shared" si="13"/>
        <v>0</v>
      </c>
    </row>
    <row r="295" spans="2:6" x14ac:dyDescent="0.2">
      <c r="B295" s="83"/>
      <c r="C295" s="2" t="s">
        <v>145</v>
      </c>
      <c r="D295" s="45"/>
      <c r="E295" s="2"/>
      <c r="F295" s="9">
        <f t="shared" si="13"/>
        <v>0</v>
      </c>
    </row>
    <row r="296" spans="2:6" x14ac:dyDescent="0.2">
      <c r="B296" s="83"/>
      <c r="C296" s="2" t="s">
        <v>152</v>
      </c>
      <c r="D296" s="45"/>
      <c r="E296" s="2"/>
      <c r="F296" s="9">
        <f t="shared" si="13"/>
        <v>0</v>
      </c>
    </row>
    <row r="297" spans="2:6" x14ac:dyDescent="0.2">
      <c r="B297" s="83"/>
      <c r="C297" s="2" t="s">
        <v>166</v>
      </c>
      <c r="D297" s="45"/>
      <c r="E297" s="2"/>
      <c r="F297" s="9">
        <f t="shared" si="13"/>
        <v>0</v>
      </c>
    </row>
    <row r="298" spans="2:6" x14ac:dyDescent="0.2">
      <c r="B298" s="83"/>
      <c r="C298" s="2" t="s">
        <v>174</v>
      </c>
      <c r="D298" s="45"/>
      <c r="E298" s="2"/>
      <c r="F298" s="9">
        <f t="shared" si="13"/>
        <v>0</v>
      </c>
    </row>
    <row r="299" spans="2:6" x14ac:dyDescent="0.2">
      <c r="B299" s="85"/>
      <c r="C299" s="2" t="s">
        <v>175</v>
      </c>
      <c r="D299" s="45"/>
      <c r="E299" s="2"/>
      <c r="F299" s="9">
        <f t="shared" si="13"/>
        <v>0</v>
      </c>
    </row>
    <row r="300" spans="2:6" x14ac:dyDescent="0.2">
      <c r="B300" s="83"/>
      <c r="C300" s="2" t="s">
        <v>172</v>
      </c>
      <c r="D300" s="45"/>
      <c r="E300" s="2"/>
      <c r="F300" s="9">
        <f t="shared" si="13"/>
        <v>0</v>
      </c>
    </row>
    <row r="301" spans="2:6" x14ac:dyDescent="0.2">
      <c r="B301" s="83"/>
      <c r="C301" s="56" t="s">
        <v>142</v>
      </c>
      <c r="D301" s="45"/>
      <c r="E301" s="2"/>
      <c r="F301" s="9">
        <f t="shared" si="13"/>
        <v>0</v>
      </c>
    </row>
    <row r="302" spans="2:6" x14ac:dyDescent="0.2">
      <c r="B302" s="83"/>
      <c r="C302" s="2" t="s">
        <v>146</v>
      </c>
      <c r="D302" s="45"/>
      <c r="E302" s="2"/>
      <c r="F302" s="9">
        <f t="shared" si="13"/>
        <v>0</v>
      </c>
    </row>
    <row r="303" spans="2:6" x14ac:dyDescent="0.2">
      <c r="B303" s="83"/>
      <c r="C303" s="2" t="s">
        <v>121</v>
      </c>
      <c r="D303" s="45"/>
      <c r="E303" s="2"/>
      <c r="F303" s="9">
        <f t="shared" si="13"/>
        <v>0</v>
      </c>
    </row>
    <row r="304" spans="2:6" x14ac:dyDescent="0.2">
      <c r="B304" s="83"/>
      <c r="C304" s="2" t="s">
        <v>122</v>
      </c>
      <c r="D304" s="45"/>
      <c r="E304" s="2"/>
      <c r="F304" s="9">
        <f t="shared" si="13"/>
        <v>0</v>
      </c>
    </row>
    <row r="305" spans="2:6" x14ac:dyDescent="0.2">
      <c r="B305" s="83"/>
      <c r="C305" s="2" t="s">
        <v>143</v>
      </c>
      <c r="D305" s="45"/>
      <c r="E305" s="2"/>
      <c r="F305" s="9">
        <f t="shared" si="13"/>
        <v>0</v>
      </c>
    </row>
    <row r="306" spans="2:6" x14ac:dyDescent="0.2">
      <c r="B306" s="83"/>
      <c r="C306" s="2" t="s">
        <v>126</v>
      </c>
      <c r="D306" s="45"/>
      <c r="E306" s="2"/>
      <c r="F306" s="9">
        <f t="shared" si="13"/>
        <v>0</v>
      </c>
    </row>
    <row r="307" spans="2:6" x14ac:dyDescent="0.2">
      <c r="B307" s="83"/>
      <c r="C307" s="2" t="s">
        <v>153</v>
      </c>
      <c r="D307" s="45"/>
      <c r="E307" s="2"/>
      <c r="F307" s="9">
        <f t="shared" si="13"/>
        <v>0</v>
      </c>
    </row>
    <row r="308" spans="2:6" x14ac:dyDescent="0.2">
      <c r="B308" s="83"/>
      <c r="C308" s="2" t="s">
        <v>141</v>
      </c>
      <c r="D308" s="45"/>
      <c r="E308" s="2"/>
      <c r="F308" s="9">
        <f t="shared" si="13"/>
        <v>0</v>
      </c>
    </row>
    <row r="309" spans="2:6" x14ac:dyDescent="0.2">
      <c r="B309" s="83"/>
      <c r="C309" s="2" t="s">
        <v>144</v>
      </c>
      <c r="D309" s="45"/>
      <c r="E309" s="2"/>
      <c r="F309" s="9">
        <f t="shared" si="13"/>
        <v>0</v>
      </c>
    </row>
    <row r="310" spans="2:6" x14ac:dyDescent="0.2">
      <c r="B310" s="84"/>
      <c r="C310" s="2" t="s">
        <v>147</v>
      </c>
      <c r="D310" s="45"/>
      <c r="E310" s="2"/>
      <c r="F310" s="9">
        <f t="shared" si="13"/>
        <v>0</v>
      </c>
    </row>
    <row r="311" spans="2:6" x14ac:dyDescent="0.2">
      <c r="B311" s="83"/>
      <c r="C311" s="2" t="s">
        <v>173</v>
      </c>
      <c r="D311" s="45"/>
      <c r="E311" s="2"/>
      <c r="F311" s="9">
        <f t="shared" si="13"/>
        <v>0</v>
      </c>
    </row>
    <row r="312" spans="2:6" x14ac:dyDescent="0.2">
      <c r="B312" s="83"/>
      <c r="C312" s="2" t="s">
        <v>159</v>
      </c>
      <c r="D312" s="45"/>
      <c r="E312" s="2"/>
      <c r="F312" s="9">
        <f t="shared" si="13"/>
        <v>0</v>
      </c>
    </row>
    <row r="313" spans="2:6" x14ac:dyDescent="0.2">
      <c r="B313" s="83"/>
      <c r="C313" s="2" t="s">
        <v>148</v>
      </c>
      <c r="D313" s="45"/>
      <c r="E313" s="2"/>
      <c r="F313" s="9">
        <f t="shared" si="13"/>
        <v>0</v>
      </c>
    </row>
    <row r="314" spans="2:6" x14ac:dyDescent="0.2">
      <c r="B314" s="83"/>
      <c r="C314" s="2"/>
      <c r="D314" s="45"/>
      <c r="E314" s="2"/>
      <c r="F314" s="9">
        <f t="shared" si="13"/>
        <v>0</v>
      </c>
    </row>
    <row r="315" spans="2:6" x14ac:dyDescent="0.2">
      <c r="B315" s="83"/>
      <c r="C315" s="2"/>
      <c r="D315" s="45"/>
      <c r="E315" s="2"/>
      <c r="F315" s="9">
        <f t="shared" si="13"/>
        <v>0</v>
      </c>
    </row>
    <row r="316" spans="2:6" x14ac:dyDescent="0.2">
      <c r="B316" s="83"/>
      <c r="C316" s="2"/>
      <c r="D316" s="45"/>
      <c r="E316" s="2"/>
      <c r="F316" s="9">
        <f t="shared" si="13"/>
        <v>0</v>
      </c>
    </row>
    <row r="317" spans="2:6" x14ac:dyDescent="0.2">
      <c r="B317" s="83"/>
      <c r="C317" s="2"/>
      <c r="D317" s="45"/>
      <c r="E317" s="2"/>
      <c r="F317" s="9">
        <f t="shared" si="13"/>
        <v>0</v>
      </c>
    </row>
    <row r="318" spans="2:6" x14ac:dyDescent="0.2">
      <c r="B318" s="83"/>
      <c r="C318" s="56"/>
      <c r="D318" s="45"/>
      <c r="E318" s="2"/>
      <c r="F318" s="9">
        <f t="shared" si="13"/>
        <v>0</v>
      </c>
    </row>
    <row r="319" spans="2:6" x14ac:dyDescent="0.2">
      <c r="B319" s="8"/>
      <c r="C319" s="159"/>
      <c r="D319" s="160"/>
      <c r="E319" s="161"/>
      <c r="F319" s="70"/>
    </row>
    <row r="320" spans="2:6" ht="15.75" thickBot="1" x14ac:dyDescent="0.25">
      <c r="B320" s="144"/>
      <c r="C320" s="145"/>
      <c r="D320" s="145"/>
      <c r="E320" s="146"/>
      <c r="F320" s="67">
        <f>SUM(F285:F319)</f>
        <v>0</v>
      </c>
    </row>
    <row r="321" spans="1:6" x14ac:dyDescent="0.2">
      <c r="B321" s="153" t="s">
        <v>7</v>
      </c>
      <c r="C321" s="154"/>
      <c r="D321" s="154"/>
      <c r="E321" s="155"/>
      <c r="F321" s="17">
        <v>300000</v>
      </c>
    </row>
    <row r="322" spans="1:6" x14ac:dyDescent="0.2">
      <c r="B322" s="147" t="s">
        <v>8</v>
      </c>
      <c r="C322" s="148"/>
      <c r="D322" s="148"/>
      <c r="E322" s="149"/>
      <c r="F322" s="28">
        <f>F320+F321</f>
        <v>300000</v>
      </c>
    </row>
    <row r="323" spans="1:6" x14ac:dyDescent="0.2">
      <c r="B323" s="147" t="s">
        <v>9</v>
      </c>
      <c r="C323" s="148"/>
      <c r="D323" s="148"/>
      <c r="E323" s="149"/>
      <c r="F323" s="39"/>
    </row>
    <row r="324" spans="1:6" ht="15.75" thickBot="1" x14ac:dyDescent="0.25">
      <c r="B324" s="150" t="s">
        <v>10</v>
      </c>
      <c r="C324" s="151"/>
      <c r="D324" s="151"/>
      <c r="E324" s="152"/>
      <c r="F324" s="12">
        <f>F323-F322</f>
        <v>-300000</v>
      </c>
    </row>
    <row r="325" spans="1:6" ht="15.75" thickBot="1" x14ac:dyDescent="0.25"/>
    <row r="326" spans="1:6" x14ac:dyDescent="0.2">
      <c r="A326" s="27" t="s">
        <v>32</v>
      </c>
      <c r="B326" s="6" t="s">
        <v>2</v>
      </c>
      <c r="C326" s="156">
        <f>C280</f>
        <v>46315</v>
      </c>
      <c r="D326" s="157"/>
      <c r="E326" s="157"/>
      <c r="F326" s="158"/>
    </row>
    <row r="327" spans="1:6" x14ac:dyDescent="0.2">
      <c r="B327" s="7" t="s">
        <v>0</v>
      </c>
      <c r="C327" s="142" t="s">
        <v>96</v>
      </c>
      <c r="D327" s="142"/>
      <c r="E327" s="142"/>
      <c r="F327" s="143"/>
    </row>
    <row r="328" spans="1:6" x14ac:dyDescent="0.2">
      <c r="B328" s="7" t="s">
        <v>1</v>
      </c>
      <c r="C328" s="142" t="s">
        <v>97</v>
      </c>
      <c r="D328" s="142"/>
      <c r="E328" s="142"/>
      <c r="F328" s="143"/>
    </row>
    <row r="329" spans="1:6" ht="15.75" thickBot="1" x14ac:dyDescent="0.25">
      <c r="B329" s="7"/>
      <c r="C329" s="162"/>
      <c r="D329" s="162"/>
      <c r="E329" s="162"/>
      <c r="F329" s="163"/>
    </row>
    <row r="330" spans="1:6" x14ac:dyDescent="0.2">
      <c r="B330" s="91" t="s">
        <v>108</v>
      </c>
      <c r="C330" s="92" t="s">
        <v>3</v>
      </c>
      <c r="D330" s="92" t="s">
        <v>4</v>
      </c>
      <c r="E330" s="93"/>
      <c r="F330" s="94" t="s">
        <v>5</v>
      </c>
    </row>
    <row r="331" spans="1:6" x14ac:dyDescent="0.2">
      <c r="B331" s="8">
        <v>30</v>
      </c>
      <c r="C331" s="35" t="s">
        <v>67</v>
      </c>
      <c r="D331" s="60"/>
      <c r="E331" s="2">
        <v>3750</v>
      </c>
      <c r="F331" s="9">
        <f t="shared" ref="F331:F364" si="14">(B331-D331) *E331</f>
        <v>112500</v>
      </c>
    </row>
    <row r="332" spans="1:6" x14ac:dyDescent="0.2">
      <c r="B332" s="84"/>
      <c r="C332" s="1" t="s">
        <v>14</v>
      </c>
      <c r="D332" s="80"/>
      <c r="E332" s="56">
        <v>9250</v>
      </c>
      <c r="F332" s="81">
        <f t="shared" si="14"/>
        <v>0</v>
      </c>
    </row>
    <row r="333" spans="1:6" x14ac:dyDescent="0.2">
      <c r="B333" s="83">
        <v>25</v>
      </c>
      <c r="C333" s="1" t="s">
        <v>15</v>
      </c>
      <c r="D333" s="45"/>
      <c r="E333" s="2">
        <v>4750</v>
      </c>
      <c r="F333" s="9">
        <f t="shared" si="14"/>
        <v>118750</v>
      </c>
    </row>
    <row r="334" spans="1:6" x14ac:dyDescent="0.2">
      <c r="B334" s="83"/>
      <c r="C334" s="1" t="s">
        <v>62</v>
      </c>
      <c r="D334" s="45"/>
      <c r="E334" s="2">
        <v>17000</v>
      </c>
      <c r="F334" s="9">
        <f t="shared" si="14"/>
        <v>0</v>
      </c>
    </row>
    <row r="335" spans="1:6" x14ac:dyDescent="0.2">
      <c r="B335" s="83"/>
      <c r="C335" s="1" t="s">
        <v>18</v>
      </c>
      <c r="D335" s="45"/>
      <c r="E335" s="2">
        <v>78000</v>
      </c>
      <c r="F335" s="9">
        <f t="shared" si="14"/>
        <v>0</v>
      </c>
    </row>
    <row r="336" spans="1:6" x14ac:dyDescent="0.2">
      <c r="B336" s="83"/>
      <c r="C336" s="1" t="s">
        <v>139</v>
      </c>
      <c r="D336" s="45"/>
      <c r="E336" s="2">
        <v>85000</v>
      </c>
      <c r="F336" s="9">
        <f t="shared" si="14"/>
        <v>0</v>
      </c>
    </row>
    <row r="337" spans="2:6" x14ac:dyDescent="0.2">
      <c r="B337" s="83"/>
      <c r="C337" s="1" t="s">
        <v>123</v>
      </c>
      <c r="D337" s="45"/>
      <c r="E337" s="2">
        <v>2200</v>
      </c>
      <c r="F337" s="9">
        <f t="shared" si="14"/>
        <v>0</v>
      </c>
    </row>
    <row r="338" spans="2:6" x14ac:dyDescent="0.2">
      <c r="B338" s="83"/>
      <c r="C338" s="1" t="s">
        <v>151</v>
      </c>
      <c r="D338" s="45"/>
      <c r="E338" s="2">
        <v>3120</v>
      </c>
      <c r="F338" s="9">
        <f t="shared" si="14"/>
        <v>0</v>
      </c>
    </row>
    <row r="339" spans="2:6" x14ac:dyDescent="0.2">
      <c r="B339" s="83">
        <v>70</v>
      </c>
      <c r="C339" s="2" t="s">
        <v>74</v>
      </c>
      <c r="D339" s="45"/>
      <c r="E339" s="2">
        <v>3700</v>
      </c>
      <c r="F339" s="9">
        <f t="shared" si="14"/>
        <v>259000</v>
      </c>
    </row>
    <row r="340" spans="2:6" x14ac:dyDescent="0.2">
      <c r="B340" s="83"/>
      <c r="C340" s="2" t="s">
        <v>79</v>
      </c>
      <c r="D340" s="45"/>
      <c r="E340" s="2">
        <v>4500</v>
      </c>
      <c r="F340" s="9">
        <f t="shared" si="14"/>
        <v>0</v>
      </c>
    </row>
    <row r="341" spans="2:6" x14ac:dyDescent="0.2">
      <c r="B341" s="83"/>
      <c r="C341" s="2" t="s">
        <v>145</v>
      </c>
      <c r="D341" s="45"/>
      <c r="E341" s="2">
        <v>3700</v>
      </c>
      <c r="F341" s="9">
        <f t="shared" si="14"/>
        <v>0</v>
      </c>
    </row>
    <row r="342" spans="2:6" x14ac:dyDescent="0.2">
      <c r="B342" s="83"/>
      <c r="C342" s="2" t="s">
        <v>152</v>
      </c>
      <c r="D342" s="45"/>
      <c r="E342" s="2">
        <v>54000</v>
      </c>
      <c r="F342" s="9">
        <f t="shared" si="14"/>
        <v>0</v>
      </c>
    </row>
    <row r="343" spans="2:6" x14ac:dyDescent="0.2">
      <c r="B343" s="83"/>
      <c r="C343" s="2" t="s">
        <v>194</v>
      </c>
      <c r="D343" s="45"/>
      <c r="E343" s="2"/>
      <c r="F343" s="9">
        <f t="shared" si="14"/>
        <v>0</v>
      </c>
    </row>
    <row r="344" spans="2:6" x14ac:dyDescent="0.2">
      <c r="B344" s="83"/>
      <c r="C344" s="2" t="s">
        <v>174</v>
      </c>
      <c r="D344" s="45"/>
      <c r="E344" s="2"/>
      <c r="F344" s="9">
        <f t="shared" si="14"/>
        <v>0</v>
      </c>
    </row>
    <row r="345" spans="2:6" x14ac:dyDescent="0.2">
      <c r="B345" s="85"/>
      <c r="C345" s="2" t="s">
        <v>175</v>
      </c>
      <c r="D345" s="45"/>
      <c r="E345" s="2"/>
      <c r="F345" s="9">
        <f t="shared" si="14"/>
        <v>0</v>
      </c>
    </row>
    <row r="346" spans="2:6" x14ac:dyDescent="0.2">
      <c r="B346" s="83"/>
      <c r="C346" s="2" t="s">
        <v>172</v>
      </c>
      <c r="D346" s="45"/>
      <c r="E346" s="2">
        <v>180000</v>
      </c>
      <c r="F346" s="9">
        <f t="shared" si="14"/>
        <v>0</v>
      </c>
    </row>
    <row r="347" spans="2:6" x14ac:dyDescent="0.2">
      <c r="B347" s="83">
        <v>1</v>
      </c>
      <c r="C347" s="56" t="s">
        <v>142</v>
      </c>
      <c r="D347" s="45"/>
      <c r="E347" s="2">
        <v>175000</v>
      </c>
      <c r="F347" s="9">
        <f t="shared" si="14"/>
        <v>175000</v>
      </c>
    </row>
    <row r="348" spans="2:6" x14ac:dyDescent="0.2">
      <c r="B348" s="83"/>
      <c r="C348" s="2" t="s">
        <v>146</v>
      </c>
      <c r="D348" s="45"/>
      <c r="E348" s="2">
        <v>9000</v>
      </c>
      <c r="F348" s="9">
        <f t="shared" si="14"/>
        <v>0</v>
      </c>
    </row>
    <row r="349" spans="2:6" x14ac:dyDescent="0.2">
      <c r="B349" s="83"/>
      <c r="C349" s="2" t="s">
        <v>121</v>
      </c>
      <c r="D349" s="45"/>
      <c r="E349" s="2">
        <v>188000</v>
      </c>
      <c r="F349" s="9">
        <f t="shared" si="14"/>
        <v>0</v>
      </c>
    </row>
    <row r="350" spans="2:6" x14ac:dyDescent="0.2">
      <c r="B350" s="83"/>
      <c r="C350" s="2" t="s">
        <v>122</v>
      </c>
      <c r="D350" s="45"/>
      <c r="E350" s="2">
        <v>186000</v>
      </c>
      <c r="F350" s="9">
        <f t="shared" si="14"/>
        <v>0</v>
      </c>
    </row>
    <row r="351" spans="2:6" x14ac:dyDescent="0.2">
      <c r="B351" s="83"/>
      <c r="C351" s="2" t="s">
        <v>143</v>
      </c>
      <c r="D351" s="45"/>
      <c r="E351" s="2">
        <v>162000</v>
      </c>
      <c r="F351" s="9">
        <f t="shared" si="14"/>
        <v>0</v>
      </c>
    </row>
    <row r="352" spans="2:6" x14ac:dyDescent="0.2">
      <c r="B352" s="83"/>
      <c r="C352" s="2" t="s">
        <v>126</v>
      </c>
      <c r="D352" s="45"/>
      <c r="E352" s="2">
        <v>110000</v>
      </c>
      <c r="F352" s="9">
        <f t="shared" si="14"/>
        <v>0</v>
      </c>
    </row>
    <row r="353" spans="2:6" x14ac:dyDescent="0.2">
      <c r="B353" s="119">
        <v>0.5</v>
      </c>
      <c r="C353" s="2" t="s">
        <v>153</v>
      </c>
      <c r="D353" s="45"/>
      <c r="E353" s="2">
        <v>225000</v>
      </c>
      <c r="F353" s="9">
        <f t="shared" si="14"/>
        <v>112500</v>
      </c>
    </row>
    <row r="354" spans="2:6" x14ac:dyDescent="0.2">
      <c r="B354" s="83"/>
      <c r="C354" s="2" t="s">
        <v>141</v>
      </c>
      <c r="D354" s="45"/>
      <c r="E354" s="2">
        <v>21500</v>
      </c>
      <c r="F354" s="9">
        <f t="shared" si="14"/>
        <v>0</v>
      </c>
    </row>
    <row r="355" spans="2:6" x14ac:dyDescent="0.2">
      <c r="B355" s="83"/>
      <c r="C355" s="2" t="s">
        <v>144</v>
      </c>
      <c r="D355" s="45"/>
      <c r="E355" s="2">
        <v>22500</v>
      </c>
      <c r="F355" s="9">
        <f t="shared" si="14"/>
        <v>0</v>
      </c>
    </row>
    <row r="356" spans="2:6" x14ac:dyDescent="0.2">
      <c r="B356" s="84"/>
      <c r="C356" s="2" t="s">
        <v>147</v>
      </c>
      <c r="D356" s="45"/>
      <c r="E356" s="2">
        <v>70000</v>
      </c>
      <c r="F356" s="9">
        <f t="shared" si="14"/>
        <v>0</v>
      </c>
    </row>
    <row r="357" spans="2:6" x14ac:dyDescent="0.2">
      <c r="B357" s="83"/>
      <c r="C357" s="2" t="s">
        <v>173</v>
      </c>
      <c r="D357" s="45"/>
      <c r="E357" s="2">
        <v>207000</v>
      </c>
      <c r="F357" s="9">
        <f t="shared" si="14"/>
        <v>0</v>
      </c>
    </row>
    <row r="358" spans="2:6" x14ac:dyDescent="0.2">
      <c r="B358" s="83"/>
      <c r="C358" s="2" t="s">
        <v>159</v>
      </c>
      <c r="D358" s="45"/>
      <c r="E358" s="2"/>
      <c r="F358" s="9">
        <f t="shared" si="14"/>
        <v>0</v>
      </c>
    </row>
    <row r="359" spans="2:6" x14ac:dyDescent="0.2">
      <c r="B359" s="83"/>
      <c r="C359" s="2" t="s">
        <v>148</v>
      </c>
      <c r="D359" s="45"/>
      <c r="E359" s="2">
        <v>220000</v>
      </c>
      <c r="F359" s="9">
        <f t="shared" si="14"/>
        <v>0</v>
      </c>
    </row>
    <row r="360" spans="2:6" x14ac:dyDescent="0.2">
      <c r="B360" s="83"/>
      <c r="C360" s="2"/>
      <c r="D360" s="45"/>
      <c r="E360" s="2"/>
      <c r="F360" s="9">
        <f t="shared" si="14"/>
        <v>0</v>
      </c>
    </row>
    <row r="361" spans="2:6" x14ac:dyDescent="0.2">
      <c r="B361" s="83"/>
      <c r="C361" s="2"/>
      <c r="D361" s="45"/>
      <c r="E361" s="2"/>
      <c r="F361" s="9">
        <f t="shared" si="14"/>
        <v>0</v>
      </c>
    </row>
    <row r="362" spans="2:6" x14ac:dyDescent="0.2">
      <c r="B362" s="83"/>
      <c r="C362" s="2"/>
      <c r="D362" s="45"/>
      <c r="E362" s="2"/>
      <c r="F362" s="9">
        <f t="shared" si="14"/>
        <v>0</v>
      </c>
    </row>
    <row r="363" spans="2:6" x14ac:dyDescent="0.2">
      <c r="B363" s="83"/>
      <c r="C363" s="2"/>
      <c r="D363" s="45"/>
      <c r="E363" s="2"/>
      <c r="F363" s="9">
        <f t="shared" si="14"/>
        <v>0</v>
      </c>
    </row>
    <row r="364" spans="2:6" x14ac:dyDescent="0.2">
      <c r="B364" s="83"/>
      <c r="C364" s="56"/>
      <c r="D364" s="45"/>
      <c r="E364" s="2"/>
      <c r="F364" s="9">
        <f t="shared" si="14"/>
        <v>0</v>
      </c>
    </row>
    <row r="365" spans="2:6" x14ac:dyDescent="0.2">
      <c r="B365" s="8"/>
      <c r="C365" s="159"/>
      <c r="D365" s="160"/>
      <c r="E365" s="161"/>
      <c r="F365" s="70"/>
    </row>
    <row r="366" spans="2:6" ht="15.75" thickBot="1" x14ac:dyDescent="0.25">
      <c r="B366" s="144" t="s">
        <v>11</v>
      </c>
      <c r="C366" s="145"/>
      <c r="D366" s="145"/>
      <c r="E366" s="146"/>
      <c r="F366" s="10">
        <f>SUM(F331:F365)</f>
        <v>777750</v>
      </c>
    </row>
    <row r="367" spans="2:6" x14ac:dyDescent="0.2">
      <c r="B367" s="153" t="s">
        <v>7</v>
      </c>
      <c r="C367" s="154"/>
      <c r="D367" s="154"/>
      <c r="E367" s="155"/>
      <c r="F367" s="17"/>
    </row>
    <row r="368" spans="2:6" x14ac:dyDescent="0.2">
      <c r="B368" s="147" t="s">
        <v>8</v>
      </c>
      <c r="C368" s="148"/>
      <c r="D368" s="148"/>
      <c r="E368" s="149"/>
      <c r="F368" s="28">
        <f>F366+F367</f>
        <v>777750</v>
      </c>
    </row>
    <row r="369" spans="1:6" x14ac:dyDescent="0.2">
      <c r="B369" s="147" t="s">
        <v>9</v>
      </c>
      <c r="C369" s="148"/>
      <c r="D369" s="148"/>
      <c r="E369" s="149"/>
      <c r="F369" s="39"/>
    </row>
    <row r="370" spans="1:6" ht="15.75" thickBot="1" x14ac:dyDescent="0.25">
      <c r="B370" s="150" t="s">
        <v>10</v>
      </c>
      <c r="C370" s="151"/>
      <c r="D370" s="151"/>
      <c r="E370" s="152"/>
      <c r="F370" s="12">
        <f>F369-F368</f>
        <v>-777750</v>
      </c>
    </row>
    <row r="371" spans="1:6" ht="15.75" thickBot="1" x14ac:dyDescent="0.25"/>
    <row r="372" spans="1:6" x14ac:dyDescent="0.2">
      <c r="A372" s="27" t="s">
        <v>33</v>
      </c>
      <c r="B372" s="6" t="s">
        <v>2</v>
      </c>
      <c r="C372" s="156">
        <f>C326</f>
        <v>46315</v>
      </c>
      <c r="D372" s="157"/>
      <c r="E372" s="157"/>
      <c r="F372" s="158"/>
    </row>
    <row r="373" spans="1:6" x14ac:dyDescent="0.2">
      <c r="B373" s="7" t="s">
        <v>0</v>
      </c>
      <c r="C373" s="164" t="s">
        <v>98</v>
      </c>
      <c r="D373" s="164"/>
      <c r="E373" s="164"/>
      <c r="F373" s="143"/>
    </row>
    <row r="374" spans="1:6" x14ac:dyDescent="0.2">
      <c r="B374" s="7" t="s">
        <v>1</v>
      </c>
      <c r="C374" s="164" t="s">
        <v>97</v>
      </c>
      <c r="D374" s="164"/>
      <c r="E374" s="164"/>
      <c r="F374" s="143"/>
    </row>
    <row r="375" spans="1:6" ht="15.75" thickBot="1" x14ac:dyDescent="0.25">
      <c r="B375" s="7"/>
      <c r="C375" s="164"/>
      <c r="D375" s="164"/>
      <c r="E375" s="164"/>
      <c r="F375" s="143"/>
    </row>
    <row r="376" spans="1:6" x14ac:dyDescent="0.2">
      <c r="B376" s="91" t="s">
        <v>108</v>
      </c>
      <c r="C376" s="92" t="s">
        <v>3</v>
      </c>
      <c r="D376" s="92" t="s">
        <v>4</v>
      </c>
      <c r="E376" s="93"/>
      <c r="F376" s="94" t="s">
        <v>5</v>
      </c>
    </row>
    <row r="377" spans="1:6" x14ac:dyDescent="0.2">
      <c r="B377" s="8">
        <v>100</v>
      </c>
      <c r="C377" s="35" t="s">
        <v>67</v>
      </c>
      <c r="D377" s="60"/>
      <c r="E377" s="2">
        <v>3700</v>
      </c>
      <c r="F377" s="9">
        <f t="shared" ref="F377:F410" si="15">(B377-D377) *E377</f>
        <v>370000</v>
      </c>
    </row>
    <row r="378" spans="1:6" x14ac:dyDescent="0.2">
      <c r="B378" s="84">
        <v>10</v>
      </c>
      <c r="C378" s="1" t="s">
        <v>14</v>
      </c>
      <c r="D378" s="80"/>
      <c r="E378" s="56">
        <v>9200</v>
      </c>
      <c r="F378" s="81">
        <f t="shared" si="15"/>
        <v>92000</v>
      </c>
    </row>
    <row r="379" spans="1:6" x14ac:dyDescent="0.2">
      <c r="B379" s="83">
        <v>75</v>
      </c>
      <c r="C379" s="1" t="s">
        <v>65</v>
      </c>
      <c r="D379" s="45">
        <v>2</v>
      </c>
      <c r="E379" s="2">
        <v>4700</v>
      </c>
      <c r="F379" s="9">
        <f t="shared" si="15"/>
        <v>343100</v>
      </c>
    </row>
    <row r="380" spans="1:6" x14ac:dyDescent="0.2">
      <c r="B380" s="83">
        <v>5</v>
      </c>
      <c r="C380" s="1" t="s">
        <v>62</v>
      </c>
      <c r="D380" s="45">
        <v>2</v>
      </c>
      <c r="E380" s="2">
        <v>17000</v>
      </c>
      <c r="F380" s="9">
        <f t="shared" si="15"/>
        <v>51000</v>
      </c>
    </row>
    <row r="381" spans="1:6" x14ac:dyDescent="0.2">
      <c r="B381" s="83">
        <v>1</v>
      </c>
      <c r="C381" s="1" t="s">
        <v>18</v>
      </c>
      <c r="D381" s="45">
        <v>1</v>
      </c>
      <c r="E381" s="2">
        <v>75000</v>
      </c>
      <c r="F381" s="9">
        <f t="shared" si="15"/>
        <v>0</v>
      </c>
    </row>
    <row r="382" spans="1:6" x14ac:dyDescent="0.2">
      <c r="B382" s="83">
        <v>1</v>
      </c>
      <c r="C382" s="1" t="s">
        <v>139</v>
      </c>
      <c r="D382" s="45"/>
      <c r="E382" s="2">
        <v>85000</v>
      </c>
      <c r="F382" s="9">
        <f t="shared" si="15"/>
        <v>85000</v>
      </c>
    </row>
    <row r="383" spans="1:6" x14ac:dyDescent="0.2">
      <c r="B383" s="83">
        <v>30</v>
      </c>
      <c r="C383" s="1" t="s">
        <v>123</v>
      </c>
      <c r="D383" s="45"/>
      <c r="E383" s="2">
        <v>2200</v>
      </c>
      <c r="F383" s="9">
        <f t="shared" si="15"/>
        <v>66000</v>
      </c>
    </row>
    <row r="384" spans="1:6" x14ac:dyDescent="0.2">
      <c r="B384" s="83"/>
      <c r="C384" s="1" t="s">
        <v>200</v>
      </c>
      <c r="D384" s="45"/>
      <c r="E384" s="2">
        <v>17000</v>
      </c>
      <c r="F384" s="9">
        <f t="shared" si="15"/>
        <v>0</v>
      </c>
    </row>
    <row r="385" spans="2:6" x14ac:dyDescent="0.2">
      <c r="B385" s="83">
        <v>100</v>
      </c>
      <c r="C385" s="2" t="s">
        <v>74</v>
      </c>
      <c r="D385" s="45"/>
      <c r="E385" s="2">
        <v>3700</v>
      </c>
      <c r="F385" s="9">
        <f t="shared" si="15"/>
        <v>370000</v>
      </c>
    </row>
    <row r="386" spans="2:6" x14ac:dyDescent="0.2">
      <c r="B386" s="83"/>
      <c r="C386" s="2" t="s">
        <v>79</v>
      </c>
      <c r="D386" s="45"/>
      <c r="E386" s="2">
        <v>4500</v>
      </c>
      <c r="F386" s="9">
        <f t="shared" si="15"/>
        <v>0</v>
      </c>
    </row>
    <row r="387" spans="2:6" x14ac:dyDescent="0.2">
      <c r="B387" s="83">
        <v>5</v>
      </c>
      <c r="C387" s="2" t="s">
        <v>145</v>
      </c>
      <c r="D387" s="45">
        <v>1</v>
      </c>
      <c r="E387" s="2">
        <v>3700</v>
      </c>
      <c r="F387" s="9">
        <f t="shared" si="15"/>
        <v>14800</v>
      </c>
    </row>
    <row r="388" spans="2:6" x14ac:dyDescent="0.2">
      <c r="B388" s="83"/>
      <c r="C388" s="2" t="s">
        <v>152</v>
      </c>
      <c r="D388" s="45"/>
      <c r="E388" s="2">
        <v>54000</v>
      </c>
      <c r="F388" s="9">
        <f t="shared" si="15"/>
        <v>0</v>
      </c>
    </row>
    <row r="389" spans="2:6" x14ac:dyDescent="0.2">
      <c r="B389" s="83">
        <v>0.5</v>
      </c>
      <c r="C389" s="2" t="s">
        <v>194</v>
      </c>
      <c r="D389" s="45"/>
      <c r="E389" s="2">
        <v>172000</v>
      </c>
      <c r="F389" s="9">
        <f t="shared" si="15"/>
        <v>86000</v>
      </c>
    </row>
    <row r="390" spans="2:6" x14ac:dyDescent="0.2">
      <c r="B390" s="83">
        <v>50</v>
      </c>
      <c r="C390" s="2" t="s">
        <v>174</v>
      </c>
      <c r="D390" s="45"/>
      <c r="E390" s="2">
        <v>4700</v>
      </c>
      <c r="F390" s="9">
        <f t="shared" si="15"/>
        <v>235000</v>
      </c>
    </row>
    <row r="391" spans="2:6" x14ac:dyDescent="0.2">
      <c r="B391" s="85">
        <v>20</v>
      </c>
      <c r="C391" s="2" t="s">
        <v>175</v>
      </c>
      <c r="D391" s="45"/>
      <c r="E391" s="2">
        <v>23500</v>
      </c>
      <c r="F391" s="9">
        <f t="shared" si="15"/>
        <v>470000</v>
      </c>
    </row>
    <row r="392" spans="2:6" x14ac:dyDescent="0.2">
      <c r="B392" s="83"/>
      <c r="C392" s="2" t="s">
        <v>172</v>
      </c>
      <c r="D392" s="45"/>
      <c r="E392" s="2">
        <v>180000</v>
      </c>
      <c r="F392" s="9">
        <f t="shared" si="15"/>
        <v>0</v>
      </c>
    </row>
    <row r="393" spans="2:6" x14ac:dyDescent="0.2">
      <c r="B393" s="83">
        <v>3</v>
      </c>
      <c r="C393" s="56" t="s">
        <v>142</v>
      </c>
      <c r="D393" s="45"/>
      <c r="E393" s="2">
        <v>172000</v>
      </c>
      <c r="F393" s="9">
        <f t="shared" si="15"/>
        <v>516000</v>
      </c>
    </row>
    <row r="394" spans="2:6" x14ac:dyDescent="0.2">
      <c r="B394" s="83">
        <v>10</v>
      </c>
      <c r="C394" s="2" t="s">
        <v>146</v>
      </c>
      <c r="D394" s="45"/>
      <c r="E394" s="2">
        <v>8750</v>
      </c>
      <c r="F394" s="9">
        <f t="shared" si="15"/>
        <v>87500</v>
      </c>
    </row>
    <row r="395" spans="2:6" x14ac:dyDescent="0.2">
      <c r="B395" s="83"/>
      <c r="C395" s="2" t="s">
        <v>121</v>
      </c>
      <c r="D395" s="45"/>
      <c r="E395" s="2">
        <v>185000</v>
      </c>
      <c r="F395" s="9">
        <f t="shared" si="15"/>
        <v>0</v>
      </c>
    </row>
    <row r="396" spans="2:6" x14ac:dyDescent="0.2">
      <c r="B396" s="83"/>
      <c r="C396" s="2" t="s">
        <v>122</v>
      </c>
      <c r="D396" s="45"/>
      <c r="E396" s="2">
        <v>185000</v>
      </c>
      <c r="F396" s="9">
        <f t="shared" si="15"/>
        <v>0</v>
      </c>
    </row>
    <row r="397" spans="2:6" x14ac:dyDescent="0.2">
      <c r="B397" s="83"/>
      <c r="C397" s="2" t="s">
        <v>143</v>
      </c>
      <c r="D397" s="45"/>
      <c r="E397" s="2">
        <v>162000</v>
      </c>
      <c r="F397" s="9">
        <f t="shared" si="15"/>
        <v>0</v>
      </c>
    </row>
    <row r="398" spans="2:6" x14ac:dyDescent="0.2">
      <c r="B398" s="119"/>
      <c r="C398" s="2" t="s">
        <v>126</v>
      </c>
      <c r="D398" s="45"/>
      <c r="E398" s="2">
        <v>110000</v>
      </c>
      <c r="F398" s="9">
        <f t="shared" si="15"/>
        <v>0</v>
      </c>
    </row>
    <row r="399" spans="2:6" x14ac:dyDescent="0.2">
      <c r="B399" s="83">
        <v>1</v>
      </c>
      <c r="C399" s="2" t="s">
        <v>153</v>
      </c>
      <c r="D399" s="45"/>
      <c r="E399" s="2">
        <v>225000</v>
      </c>
      <c r="F399" s="9">
        <f t="shared" si="15"/>
        <v>225000</v>
      </c>
    </row>
    <row r="400" spans="2:6" x14ac:dyDescent="0.2">
      <c r="B400" s="83"/>
      <c r="C400" s="2" t="s">
        <v>141</v>
      </c>
      <c r="D400" s="45"/>
      <c r="E400" s="2">
        <v>21500</v>
      </c>
      <c r="F400" s="9">
        <f t="shared" si="15"/>
        <v>0</v>
      </c>
    </row>
    <row r="401" spans="2:8" x14ac:dyDescent="0.2">
      <c r="B401" s="83"/>
      <c r="C401" s="2" t="s">
        <v>144</v>
      </c>
      <c r="D401" s="45"/>
      <c r="E401" s="2">
        <v>22500</v>
      </c>
      <c r="F401" s="9">
        <f>(B401-D401+D404) *E401</f>
        <v>0</v>
      </c>
    </row>
    <row r="402" spans="2:8" x14ac:dyDescent="0.2">
      <c r="B402" s="84"/>
      <c r="C402" s="2" t="s">
        <v>147</v>
      </c>
      <c r="D402" s="45"/>
      <c r="E402" s="2">
        <v>7000</v>
      </c>
      <c r="F402" s="9">
        <f t="shared" si="15"/>
        <v>0</v>
      </c>
    </row>
    <row r="403" spans="2:8" x14ac:dyDescent="0.2">
      <c r="B403" s="83"/>
      <c r="C403" s="2" t="s">
        <v>173</v>
      </c>
      <c r="D403" s="45"/>
      <c r="E403" s="2">
        <v>207000</v>
      </c>
      <c r="F403" s="9">
        <f t="shared" si="15"/>
        <v>0</v>
      </c>
    </row>
    <row r="404" spans="2:8" x14ac:dyDescent="0.2">
      <c r="B404" s="83"/>
      <c r="C404" s="2" t="s">
        <v>159</v>
      </c>
      <c r="D404" s="45"/>
      <c r="E404" s="2"/>
      <c r="F404" s="9">
        <f t="shared" si="15"/>
        <v>0</v>
      </c>
    </row>
    <row r="405" spans="2:8" x14ac:dyDescent="0.2">
      <c r="B405" s="83"/>
      <c r="C405" s="2" t="s">
        <v>148</v>
      </c>
      <c r="D405" s="45"/>
      <c r="E405" s="2">
        <v>220000</v>
      </c>
      <c r="F405" s="9">
        <f t="shared" si="15"/>
        <v>0</v>
      </c>
    </row>
    <row r="406" spans="2:8" x14ac:dyDescent="0.2">
      <c r="B406" s="83"/>
      <c r="C406" s="2" t="s">
        <v>195</v>
      </c>
      <c r="D406" s="45"/>
      <c r="E406" s="2">
        <v>9000</v>
      </c>
      <c r="F406" s="9">
        <f t="shared" si="15"/>
        <v>0</v>
      </c>
    </row>
    <row r="407" spans="2:8" x14ac:dyDescent="0.2">
      <c r="B407" s="83"/>
      <c r="C407" s="2" t="s">
        <v>178</v>
      </c>
      <c r="D407" s="45"/>
      <c r="E407" s="2">
        <v>22500</v>
      </c>
      <c r="F407" s="9">
        <f t="shared" si="15"/>
        <v>0</v>
      </c>
    </row>
    <row r="408" spans="2:8" x14ac:dyDescent="0.2">
      <c r="B408" s="83"/>
      <c r="C408" s="2"/>
      <c r="D408" s="45"/>
      <c r="E408" s="2"/>
      <c r="F408" s="9">
        <f t="shared" si="15"/>
        <v>0</v>
      </c>
    </row>
    <row r="409" spans="2:8" x14ac:dyDescent="0.2">
      <c r="B409" s="83"/>
      <c r="C409" s="2"/>
      <c r="D409" s="45"/>
      <c r="E409" s="2"/>
      <c r="F409" s="9">
        <f t="shared" si="15"/>
        <v>0</v>
      </c>
    </row>
    <row r="410" spans="2:8" x14ac:dyDescent="0.2">
      <c r="B410" s="83"/>
      <c r="C410" s="56"/>
      <c r="D410" s="45"/>
      <c r="E410" s="2"/>
      <c r="F410" s="9">
        <f t="shared" si="15"/>
        <v>0</v>
      </c>
    </row>
    <row r="411" spans="2:8" x14ac:dyDescent="0.2">
      <c r="B411" s="8"/>
      <c r="C411" s="159"/>
      <c r="D411" s="160"/>
      <c r="E411" s="161"/>
      <c r="F411" s="70"/>
    </row>
    <row r="412" spans="2:8" ht="15.75" thickBot="1" x14ac:dyDescent="0.25">
      <c r="B412" s="144" t="s">
        <v>11</v>
      </c>
      <c r="C412" s="145"/>
      <c r="D412" s="145"/>
      <c r="E412" s="146"/>
      <c r="F412" s="67">
        <f>SUM(F377:F411)</f>
        <v>3011400</v>
      </c>
    </row>
    <row r="413" spans="2:8" x14ac:dyDescent="0.2">
      <c r="B413" s="165" t="s">
        <v>7</v>
      </c>
      <c r="C413" s="166"/>
      <c r="D413" s="166"/>
      <c r="E413" s="167"/>
      <c r="F413" s="68">
        <v>1000000</v>
      </c>
      <c r="H413" t="s">
        <v>206</v>
      </c>
    </row>
    <row r="414" spans="2:8" x14ac:dyDescent="0.2">
      <c r="B414" s="147" t="s">
        <v>8</v>
      </c>
      <c r="C414" s="148"/>
      <c r="D414" s="148"/>
      <c r="E414" s="149"/>
      <c r="F414" s="28">
        <f>F412+F413</f>
        <v>4011400</v>
      </c>
    </row>
    <row r="415" spans="2:8" x14ac:dyDescent="0.2">
      <c r="B415" s="147" t="s">
        <v>118</v>
      </c>
      <c r="C415" s="148"/>
      <c r="D415" s="148"/>
      <c r="E415" s="149"/>
      <c r="F415" s="39">
        <v>3086000</v>
      </c>
    </row>
    <row r="416" spans="2:8" ht="15.75" thickBot="1" x14ac:dyDescent="0.25">
      <c r="B416" s="150" t="s">
        <v>10</v>
      </c>
      <c r="C416" s="151"/>
      <c r="D416" s="151"/>
      <c r="E416" s="152"/>
      <c r="F416" s="12">
        <f>F415-F414</f>
        <v>-925400</v>
      </c>
    </row>
    <row r="417" spans="1:6" ht="15.75" thickBot="1" x14ac:dyDescent="0.25">
      <c r="F417" s="39"/>
    </row>
    <row r="418" spans="1:6" x14ac:dyDescent="0.2">
      <c r="A418" s="27" t="s">
        <v>34</v>
      </c>
      <c r="B418" s="6" t="s">
        <v>2</v>
      </c>
      <c r="C418" s="156">
        <f>C372</f>
        <v>46315</v>
      </c>
      <c r="D418" s="157"/>
      <c r="E418" s="157"/>
      <c r="F418" s="158"/>
    </row>
    <row r="419" spans="1:6" x14ac:dyDescent="0.2">
      <c r="B419" s="7" t="s">
        <v>0</v>
      </c>
      <c r="C419" s="142" t="s">
        <v>99</v>
      </c>
      <c r="D419" s="142"/>
      <c r="E419" s="142"/>
      <c r="F419" s="143"/>
    </row>
    <row r="420" spans="1:6" x14ac:dyDescent="0.2">
      <c r="B420" s="7" t="s">
        <v>1</v>
      </c>
      <c r="C420" s="142" t="s">
        <v>97</v>
      </c>
      <c r="D420" s="142"/>
      <c r="E420" s="142"/>
      <c r="F420" s="143"/>
    </row>
    <row r="421" spans="1:6" ht="15.75" thickBot="1" x14ac:dyDescent="0.25">
      <c r="B421" s="7"/>
      <c r="C421" s="162"/>
      <c r="D421" s="162"/>
      <c r="E421" s="162"/>
      <c r="F421" s="163"/>
    </row>
    <row r="422" spans="1:6" x14ac:dyDescent="0.2">
      <c r="B422" s="91" t="s">
        <v>108</v>
      </c>
      <c r="C422" s="92" t="s">
        <v>3</v>
      </c>
      <c r="D422" s="92" t="s">
        <v>4</v>
      </c>
      <c r="E422" s="93"/>
      <c r="F422" s="94" t="s">
        <v>5</v>
      </c>
    </row>
    <row r="423" spans="1:6" x14ac:dyDescent="0.2">
      <c r="B423" s="8">
        <v>90</v>
      </c>
      <c r="C423" s="35" t="s">
        <v>67</v>
      </c>
      <c r="D423" s="60"/>
      <c r="E423" s="2">
        <v>3750</v>
      </c>
      <c r="F423" s="9">
        <f t="shared" ref="F423:F456" si="16">(B423-D423) *E423</f>
        <v>337500</v>
      </c>
    </row>
    <row r="424" spans="1:6" x14ac:dyDescent="0.2">
      <c r="B424" s="84">
        <v>5</v>
      </c>
      <c r="C424" s="1" t="s">
        <v>14</v>
      </c>
      <c r="D424" s="80"/>
      <c r="E424" s="56">
        <v>9250</v>
      </c>
      <c r="F424" s="81">
        <f t="shared" si="16"/>
        <v>46250</v>
      </c>
    </row>
    <row r="425" spans="1:6" x14ac:dyDescent="0.2">
      <c r="B425" s="83">
        <v>50</v>
      </c>
      <c r="C425" s="1" t="s">
        <v>15</v>
      </c>
      <c r="D425" s="45"/>
      <c r="E425" s="2">
        <v>4750</v>
      </c>
      <c r="F425" s="9">
        <f t="shared" si="16"/>
        <v>237500</v>
      </c>
    </row>
    <row r="426" spans="1:6" x14ac:dyDescent="0.2">
      <c r="B426" s="83"/>
      <c r="C426" s="1" t="s">
        <v>62</v>
      </c>
      <c r="D426" s="45"/>
      <c r="E426" s="2">
        <v>17000</v>
      </c>
      <c r="F426" s="9">
        <f t="shared" si="16"/>
        <v>0</v>
      </c>
    </row>
    <row r="427" spans="1:6" x14ac:dyDescent="0.2">
      <c r="B427" s="83"/>
      <c r="C427" s="1" t="s">
        <v>18</v>
      </c>
      <c r="D427" s="45"/>
      <c r="E427" s="2">
        <v>75000</v>
      </c>
      <c r="F427" s="9">
        <f t="shared" si="16"/>
        <v>0</v>
      </c>
    </row>
    <row r="428" spans="1:6" x14ac:dyDescent="0.2">
      <c r="B428" s="83"/>
      <c r="C428" s="1" t="s">
        <v>139</v>
      </c>
      <c r="D428" s="45"/>
      <c r="E428" s="2">
        <v>80000</v>
      </c>
      <c r="F428" s="9">
        <f t="shared" si="16"/>
        <v>0</v>
      </c>
    </row>
    <row r="429" spans="1:6" x14ac:dyDescent="0.2">
      <c r="B429" s="83"/>
      <c r="C429" s="1" t="s">
        <v>123</v>
      </c>
      <c r="D429" s="45"/>
      <c r="E429" s="2">
        <v>2200</v>
      </c>
      <c r="F429" s="9">
        <f t="shared" si="16"/>
        <v>0</v>
      </c>
    </row>
    <row r="430" spans="1:6" x14ac:dyDescent="0.2">
      <c r="B430" s="83"/>
      <c r="C430" s="1" t="s">
        <v>151</v>
      </c>
      <c r="D430" s="45"/>
      <c r="E430" s="2"/>
      <c r="F430" s="9">
        <f t="shared" si="16"/>
        <v>0</v>
      </c>
    </row>
    <row r="431" spans="1:6" x14ac:dyDescent="0.2">
      <c r="B431" s="83">
        <v>110</v>
      </c>
      <c r="C431" s="2" t="s">
        <v>74</v>
      </c>
      <c r="D431" s="45"/>
      <c r="E431" s="2">
        <v>3700</v>
      </c>
      <c r="F431" s="9">
        <f t="shared" si="16"/>
        <v>407000</v>
      </c>
    </row>
    <row r="432" spans="1:6" x14ac:dyDescent="0.2">
      <c r="B432" s="83"/>
      <c r="C432" s="2" t="s">
        <v>79</v>
      </c>
      <c r="D432" s="45"/>
      <c r="E432" s="2">
        <v>4500</v>
      </c>
      <c r="F432" s="9">
        <f t="shared" si="16"/>
        <v>0</v>
      </c>
    </row>
    <row r="433" spans="2:6" x14ac:dyDescent="0.2">
      <c r="B433" s="83"/>
      <c r="C433" s="2" t="s">
        <v>145</v>
      </c>
      <c r="D433" s="45"/>
      <c r="E433" s="2">
        <v>3700</v>
      </c>
      <c r="F433" s="9">
        <f t="shared" si="16"/>
        <v>0</v>
      </c>
    </row>
    <row r="434" spans="2:6" x14ac:dyDescent="0.2">
      <c r="B434" s="83"/>
      <c r="C434" s="2" t="s">
        <v>152</v>
      </c>
      <c r="D434" s="45"/>
      <c r="E434" s="2">
        <v>54000</v>
      </c>
      <c r="F434" s="9">
        <f t="shared" si="16"/>
        <v>0</v>
      </c>
    </row>
    <row r="435" spans="2:6" x14ac:dyDescent="0.2">
      <c r="B435" s="83"/>
      <c r="C435" s="2" t="s">
        <v>166</v>
      </c>
      <c r="D435" s="45"/>
      <c r="E435" s="2">
        <v>7000</v>
      </c>
      <c r="F435" s="9">
        <f t="shared" si="16"/>
        <v>0</v>
      </c>
    </row>
    <row r="436" spans="2:6" x14ac:dyDescent="0.2">
      <c r="B436" s="83"/>
      <c r="C436" s="2" t="s">
        <v>174</v>
      </c>
      <c r="D436" s="45"/>
      <c r="E436" s="2"/>
      <c r="F436" s="9">
        <f t="shared" si="16"/>
        <v>0</v>
      </c>
    </row>
    <row r="437" spans="2:6" x14ac:dyDescent="0.2">
      <c r="B437" s="85"/>
      <c r="C437" s="2" t="s">
        <v>175</v>
      </c>
      <c r="D437" s="45"/>
      <c r="E437" s="2">
        <v>23100</v>
      </c>
      <c r="F437" s="9">
        <f t="shared" si="16"/>
        <v>0</v>
      </c>
    </row>
    <row r="438" spans="2:6" x14ac:dyDescent="0.2">
      <c r="B438" s="83"/>
      <c r="C438" s="2" t="s">
        <v>172</v>
      </c>
      <c r="D438" s="45"/>
      <c r="E438" s="2">
        <v>180000</v>
      </c>
      <c r="F438" s="9">
        <f t="shared" si="16"/>
        <v>0</v>
      </c>
    </row>
    <row r="439" spans="2:6" x14ac:dyDescent="0.2">
      <c r="B439" s="83">
        <v>0.5</v>
      </c>
      <c r="C439" s="56" t="s">
        <v>142</v>
      </c>
      <c r="D439" s="45"/>
      <c r="E439" s="2">
        <v>180000</v>
      </c>
      <c r="F439" s="9">
        <f t="shared" si="16"/>
        <v>90000</v>
      </c>
    </row>
    <row r="440" spans="2:6" x14ac:dyDescent="0.2">
      <c r="B440" s="83"/>
      <c r="C440" s="2" t="s">
        <v>146</v>
      </c>
      <c r="D440" s="45"/>
      <c r="E440" s="2">
        <v>9000</v>
      </c>
      <c r="F440" s="9">
        <f t="shared" si="16"/>
        <v>0</v>
      </c>
    </row>
    <row r="441" spans="2:6" x14ac:dyDescent="0.2">
      <c r="B441" s="83"/>
      <c r="C441" s="2" t="s">
        <v>121</v>
      </c>
      <c r="D441" s="45"/>
      <c r="E441" s="2"/>
      <c r="F441" s="9">
        <f t="shared" si="16"/>
        <v>0</v>
      </c>
    </row>
    <row r="442" spans="2:6" x14ac:dyDescent="0.2">
      <c r="B442" s="83"/>
      <c r="C442" s="2" t="s">
        <v>122</v>
      </c>
      <c r="D442" s="45"/>
      <c r="E442" s="2">
        <v>186000</v>
      </c>
      <c r="F442" s="9">
        <f t="shared" si="16"/>
        <v>0</v>
      </c>
    </row>
    <row r="443" spans="2:6" x14ac:dyDescent="0.2">
      <c r="B443" s="83"/>
      <c r="C443" s="2" t="s">
        <v>143</v>
      </c>
      <c r="D443" s="45"/>
      <c r="E443" s="2">
        <v>162000</v>
      </c>
      <c r="F443" s="9">
        <f t="shared" si="16"/>
        <v>0</v>
      </c>
    </row>
    <row r="444" spans="2:6" x14ac:dyDescent="0.2">
      <c r="B444" s="83"/>
      <c r="C444" s="2" t="s">
        <v>126</v>
      </c>
      <c r="D444" s="45"/>
      <c r="E444" s="2">
        <v>110000</v>
      </c>
      <c r="F444" s="9">
        <f t="shared" si="16"/>
        <v>0</v>
      </c>
    </row>
    <row r="445" spans="2:6" x14ac:dyDescent="0.2">
      <c r="B445" s="83">
        <v>0.5</v>
      </c>
      <c r="C445" s="2" t="s">
        <v>153</v>
      </c>
      <c r="D445" s="45"/>
      <c r="E445" s="2">
        <v>225000</v>
      </c>
      <c r="F445" s="9">
        <f t="shared" si="16"/>
        <v>112500</v>
      </c>
    </row>
    <row r="446" spans="2:6" x14ac:dyDescent="0.2">
      <c r="B446" s="83"/>
      <c r="C446" s="2" t="s">
        <v>141</v>
      </c>
      <c r="D446" s="45"/>
      <c r="E446" s="2"/>
      <c r="F446" s="9">
        <f t="shared" si="16"/>
        <v>0</v>
      </c>
    </row>
    <row r="447" spans="2:6" x14ac:dyDescent="0.2">
      <c r="B447" s="83"/>
      <c r="C447" s="2" t="s">
        <v>144</v>
      </c>
      <c r="D447" s="45"/>
      <c r="E447" s="2"/>
      <c r="F447" s="9">
        <f t="shared" si="16"/>
        <v>0</v>
      </c>
    </row>
    <row r="448" spans="2:6" x14ac:dyDescent="0.2">
      <c r="B448" s="84"/>
      <c r="C448" s="2" t="s">
        <v>147</v>
      </c>
      <c r="D448" s="45"/>
      <c r="E448" s="2">
        <v>7000</v>
      </c>
      <c r="F448" s="9">
        <f t="shared" si="16"/>
        <v>0</v>
      </c>
    </row>
    <row r="449" spans="1:6" x14ac:dyDescent="0.2">
      <c r="B449" s="83"/>
      <c r="C449" s="2" t="s">
        <v>173</v>
      </c>
      <c r="D449" s="45"/>
      <c r="E449" s="2">
        <v>207000</v>
      </c>
      <c r="F449" s="9">
        <f t="shared" si="16"/>
        <v>0</v>
      </c>
    </row>
    <row r="450" spans="1:6" x14ac:dyDescent="0.2">
      <c r="B450" s="83"/>
      <c r="C450" s="2" t="s">
        <v>159</v>
      </c>
      <c r="D450" s="45"/>
      <c r="E450" s="2"/>
      <c r="F450" s="9">
        <f t="shared" si="16"/>
        <v>0</v>
      </c>
    </row>
    <row r="451" spans="1:6" x14ac:dyDescent="0.2">
      <c r="B451" s="83"/>
      <c r="C451" s="2" t="s">
        <v>148</v>
      </c>
      <c r="D451" s="45"/>
      <c r="E451" s="2">
        <v>220000</v>
      </c>
      <c r="F451" s="9">
        <f t="shared" si="16"/>
        <v>0</v>
      </c>
    </row>
    <row r="452" spans="1:6" x14ac:dyDescent="0.2">
      <c r="B452" s="83"/>
      <c r="C452" s="2"/>
      <c r="D452" s="45"/>
      <c r="E452" s="2"/>
      <c r="F452" s="9">
        <f t="shared" si="16"/>
        <v>0</v>
      </c>
    </row>
    <row r="453" spans="1:6" x14ac:dyDescent="0.2">
      <c r="B453" s="83"/>
      <c r="C453" s="2"/>
      <c r="D453" s="45"/>
      <c r="E453" s="2"/>
      <c r="F453" s="9">
        <f t="shared" si="16"/>
        <v>0</v>
      </c>
    </row>
    <row r="454" spans="1:6" x14ac:dyDescent="0.2">
      <c r="B454" s="83"/>
      <c r="C454" s="2"/>
      <c r="D454" s="45"/>
      <c r="E454" s="2"/>
      <c r="F454" s="9">
        <f t="shared" si="16"/>
        <v>0</v>
      </c>
    </row>
    <row r="455" spans="1:6" x14ac:dyDescent="0.2">
      <c r="B455" s="83"/>
      <c r="C455" s="2"/>
      <c r="D455" s="45"/>
      <c r="E455" s="2"/>
      <c r="F455" s="9">
        <f t="shared" si="16"/>
        <v>0</v>
      </c>
    </row>
    <row r="456" spans="1:6" x14ac:dyDescent="0.2">
      <c r="B456" s="83"/>
      <c r="C456" s="56"/>
      <c r="D456" s="45"/>
      <c r="E456" s="2"/>
      <c r="F456" s="9">
        <f t="shared" si="16"/>
        <v>0</v>
      </c>
    </row>
    <row r="457" spans="1:6" x14ac:dyDescent="0.2">
      <c r="B457" s="8"/>
      <c r="C457" s="159" t="s">
        <v>160</v>
      </c>
      <c r="D457" s="160"/>
      <c r="E457" s="161"/>
      <c r="F457" s="70"/>
    </row>
    <row r="458" spans="1:6" ht="15.75" thickBot="1" x14ac:dyDescent="0.25">
      <c r="B458" s="144" t="s">
        <v>11</v>
      </c>
      <c r="C458" s="145"/>
      <c r="D458" s="145"/>
      <c r="E458" s="146"/>
      <c r="F458" s="10">
        <f>SUM(F423:F457)</f>
        <v>1230750</v>
      </c>
    </row>
    <row r="459" spans="1:6" x14ac:dyDescent="0.2">
      <c r="B459" s="153" t="s">
        <v>7</v>
      </c>
      <c r="C459" s="154"/>
      <c r="D459" s="154"/>
      <c r="E459" s="155"/>
      <c r="F459" s="17"/>
    </row>
    <row r="460" spans="1:6" x14ac:dyDescent="0.2">
      <c r="B460" s="147" t="s">
        <v>8</v>
      </c>
      <c r="C460" s="148"/>
      <c r="D460" s="148"/>
      <c r="E460" s="149"/>
      <c r="F460" s="28">
        <f>F458+F459</f>
        <v>1230750</v>
      </c>
    </row>
    <row r="461" spans="1:6" x14ac:dyDescent="0.2">
      <c r="B461" s="147" t="s">
        <v>9</v>
      </c>
      <c r="C461" s="148"/>
      <c r="D461" s="148"/>
      <c r="E461" s="149"/>
      <c r="F461" s="39"/>
    </row>
    <row r="462" spans="1:6" ht="15.75" thickBot="1" x14ac:dyDescent="0.25">
      <c r="B462" s="150" t="s">
        <v>10</v>
      </c>
      <c r="C462" s="151"/>
      <c r="D462" s="151"/>
      <c r="E462" s="152"/>
      <c r="F462" s="12">
        <f>F461-F460</f>
        <v>-1230750</v>
      </c>
    </row>
    <row r="463" spans="1:6" ht="15.75" thickBot="1" x14ac:dyDescent="0.25"/>
    <row r="464" spans="1:6" x14ac:dyDescent="0.2">
      <c r="A464" s="27" t="s">
        <v>35</v>
      </c>
      <c r="B464" s="6" t="s">
        <v>2</v>
      </c>
      <c r="C464" s="156">
        <f>C418</f>
        <v>46315</v>
      </c>
      <c r="D464" s="157"/>
      <c r="E464" s="157"/>
      <c r="F464" s="158"/>
    </row>
    <row r="465" spans="2:6" x14ac:dyDescent="0.2">
      <c r="B465" s="7" t="s">
        <v>0</v>
      </c>
      <c r="C465" s="164" t="s">
        <v>100</v>
      </c>
      <c r="D465" s="164"/>
      <c r="E465" s="164"/>
      <c r="F465" s="143"/>
    </row>
    <row r="466" spans="2:6" x14ac:dyDescent="0.2">
      <c r="B466" s="7" t="s">
        <v>1</v>
      </c>
      <c r="C466" s="164" t="s">
        <v>101</v>
      </c>
      <c r="D466" s="164"/>
      <c r="E466" s="164"/>
      <c r="F466" s="143"/>
    </row>
    <row r="467" spans="2:6" ht="15.75" thickBot="1" x14ac:dyDescent="0.25">
      <c r="B467" s="62"/>
      <c r="C467" s="162"/>
      <c r="D467" s="162"/>
      <c r="E467" s="162"/>
      <c r="F467" s="163"/>
    </row>
    <row r="468" spans="2:6" x14ac:dyDescent="0.2">
      <c r="B468" s="138"/>
      <c r="C468" s="139" t="s">
        <v>3</v>
      </c>
      <c r="D468" s="139" t="s">
        <v>4</v>
      </c>
      <c r="E468" s="140"/>
      <c r="F468" s="141" t="s">
        <v>5</v>
      </c>
    </row>
    <row r="469" spans="2:6" x14ac:dyDescent="0.2">
      <c r="B469" s="8">
        <v>50</v>
      </c>
      <c r="C469" s="35" t="s">
        <v>67</v>
      </c>
      <c r="D469" s="60"/>
      <c r="E469" s="2">
        <v>3750</v>
      </c>
      <c r="F469" s="9">
        <f>(B469-D469) *E469</f>
        <v>187500</v>
      </c>
    </row>
    <row r="470" spans="2:6" x14ac:dyDescent="0.2">
      <c r="B470" s="113">
        <v>10</v>
      </c>
      <c r="C470" s="1" t="s">
        <v>14</v>
      </c>
      <c r="D470" s="80"/>
      <c r="E470" s="56">
        <v>9250</v>
      </c>
      <c r="F470" s="81">
        <f t="shared" ref="F469:F502" si="17">(B470-D470) *E470</f>
        <v>92500</v>
      </c>
    </row>
    <row r="471" spans="2:6" x14ac:dyDescent="0.2">
      <c r="B471" s="112">
        <v>30</v>
      </c>
      <c r="C471" s="1" t="s">
        <v>15</v>
      </c>
      <c r="D471" s="45"/>
      <c r="E471" s="2">
        <v>4750</v>
      </c>
      <c r="F471" s="9">
        <f t="shared" si="17"/>
        <v>142500</v>
      </c>
    </row>
    <row r="472" spans="2:6" x14ac:dyDescent="0.2">
      <c r="B472" s="112">
        <v>2</v>
      </c>
      <c r="C472" s="1" t="s">
        <v>62</v>
      </c>
      <c r="D472" s="45"/>
      <c r="E472" s="2">
        <v>17000</v>
      </c>
      <c r="F472" s="9">
        <f t="shared" si="17"/>
        <v>34000</v>
      </c>
    </row>
    <row r="473" spans="2:6" x14ac:dyDescent="0.2">
      <c r="B473" s="112">
        <v>1</v>
      </c>
      <c r="C473" s="1" t="s">
        <v>18</v>
      </c>
      <c r="D473" s="45"/>
      <c r="E473" s="2">
        <v>75000</v>
      </c>
      <c r="F473" s="9">
        <f t="shared" si="17"/>
        <v>75000</v>
      </c>
    </row>
    <row r="474" spans="2:6" x14ac:dyDescent="0.2">
      <c r="B474" s="112"/>
      <c r="C474" s="1" t="s">
        <v>139</v>
      </c>
      <c r="D474" s="45"/>
      <c r="E474" s="2">
        <v>80000</v>
      </c>
      <c r="F474" s="9">
        <f t="shared" si="17"/>
        <v>0</v>
      </c>
    </row>
    <row r="475" spans="2:6" x14ac:dyDescent="0.2">
      <c r="B475" s="112">
        <v>40</v>
      </c>
      <c r="C475" s="1" t="s">
        <v>123</v>
      </c>
      <c r="D475" s="45"/>
      <c r="E475" s="2">
        <v>2200</v>
      </c>
      <c r="F475" s="9">
        <f t="shared" si="17"/>
        <v>88000</v>
      </c>
    </row>
    <row r="476" spans="2:6" x14ac:dyDescent="0.2">
      <c r="B476" s="112"/>
      <c r="C476" s="1" t="s">
        <v>201</v>
      </c>
      <c r="D476" s="45"/>
      <c r="E476" s="2">
        <v>17000</v>
      </c>
      <c r="F476" s="9">
        <f t="shared" si="17"/>
        <v>0</v>
      </c>
    </row>
    <row r="477" spans="2:6" x14ac:dyDescent="0.2">
      <c r="B477" s="125">
        <v>70</v>
      </c>
      <c r="C477" s="2" t="s">
        <v>74</v>
      </c>
      <c r="D477" s="45"/>
      <c r="E477" s="2">
        <v>3700</v>
      </c>
      <c r="F477" s="9">
        <f t="shared" si="17"/>
        <v>259000</v>
      </c>
    </row>
    <row r="478" spans="2:6" x14ac:dyDescent="0.2">
      <c r="B478" s="112"/>
      <c r="C478" s="2" t="s">
        <v>79</v>
      </c>
      <c r="D478" s="45"/>
      <c r="E478" s="2">
        <v>4500</v>
      </c>
      <c r="F478" s="9">
        <f t="shared" si="17"/>
        <v>0</v>
      </c>
    </row>
    <row r="479" spans="2:6" x14ac:dyDescent="0.2">
      <c r="B479" s="112"/>
      <c r="C479" s="2" t="s">
        <v>145</v>
      </c>
      <c r="D479" s="45"/>
      <c r="E479" s="2">
        <v>3700</v>
      </c>
      <c r="F479" s="9">
        <f t="shared" si="17"/>
        <v>0</v>
      </c>
    </row>
    <row r="480" spans="2:6" x14ac:dyDescent="0.2">
      <c r="B480" s="112"/>
      <c r="C480" s="2" t="s">
        <v>152</v>
      </c>
      <c r="D480" s="45"/>
      <c r="E480" s="2">
        <v>54000</v>
      </c>
      <c r="F480" s="9">
        <f t="shared" si="17"/>
        <v>0</v>
      </c>
    </row>
    <row r="481" spans="2:6" x14ac:dyDescent="0.2">
      <c r="B481" s="112"/>
      <c r="C481" s="2" t="s">
        <v>166</v>
      </c>
      <c r="D481" s="45"/>
      <c r="E481" s="2"/>
      <c r="F481" s="9">
        <f t="shared" si="17"/>
        <v>0</v>
      </c>
    </row>
    <row r="482" spans="2:6" x14ac:dyDescent="0.2">
      <c r="B482" s="112">
        <v>30</v>
      </c>
      <c r="C482" s="2" t="s">
        <v>174</v>
      </c>
      <c r="D482" s="45"/>
      <c r="E482" s="2">
        <v>4700</v>
      </c>
      <c r="F482" s="9">
        <f t="shared" si="17"/>
        <v>141000</v>
      </c>
    </row>
    <row r="483" spans="2:6" x14ac:dyDescent="0.2">
      <c r="B483" s="114"/>
      <c r="C483" s="2" t="s">
        <v>175</v>
      </c>
      <c r="D483" s="45"/>
      <c r="E483" s="2"/>
      <c r="F483" s="9">
        <f t="shared" si="17"/>
        <v>0</v>
      </c>
    </row>
    <row r="484" spans="2:6" x14ac:dyDescent="0.2">
      <c r="B484" s="112"/>
      <c r="C484" s="2" t="s">
        <v>172</v>
      </c>
      <c r="D484" s="45"/>
      <c r="E484" s="2">
        <v>180000</v>
      </c>
      <c r="F484" s="9">
        <f t="shared" si="17"/>
        <v>0</v>
      </c>
    </row>
    <row r="485" spans="2:6" x14ac:dyDescent="0.2">
      <c r="B485" s="112">
        <v>1</v>
      </c>
      <c r="C485" s="56" t="s">
        <v>142</v>
      </c>
      <c r="D485" s="45"/>
      <c r="E485" s="2">
        <v>175000</v>
      </c>
      <c r="F485" s="9">
        <f t="shared" si="17"/>
        <v>175000</v>
      </c>
    </row>
    <row r="486" spans="2:6" x14ac:dyDescent="0.2">
      <c r="B486" s="112">
        <v>5</v>
      </c>
      <c r="C486" s="2" t="s">
        <v>146</v>
      </c>
      <c r="D486" s="45"/>
      <c r="E486" s="2">
        <v>9000</v>
      </c>
      <c r="F486" s="9">
        <f t="shared" si="17"/>
        <v>45000</v>
      </c>
    </row>
    <row r="487" spans="2:6" x14ac:dyDescent="0.2">
      <c r="B487" s="112">
        <v>0.5</v>
      </c>
      <c r="C487" s="2" t="s">
        <v>121</v>
      </c>
      <c r="D487" s="45"/>
      <c r="E487" s="2">
        <v>188000</v>
      </c>
      <c r="F487" s="9">
        <f t="shared" si="17"/>
        <v>94000</v>
      </c>
    </row>
    <row r="488" spans="2:6" x14ac:dyDescent="0.2">
      <c r="B488" s="112"/>
      <c r="C488" s="2" t="s">
        <v>122</v>
      </c>
      <c r="D488" s="45"/>
      <c r="E488" s="2">
        <v>186000</v>
      </c>
      <c r="F488" s="9">
        <f t="shared" si="17"/>
        <v>0</v>
      </c>
    </row>
    <row r="489" spans="2:6" x14ac:dyDescent="0.2">
      <c r="B489" s="112">
        <v>0.5</v>
      </c>
      <c r="C489" s="2" t="s">
        <v>143</v>
      </c>
      <c r="D489" s="45"/>
      <c r="E489" s="2">
        <v>162000</v>
      </c>
      <c r="F489" s="9">
        <f t="shared" si="17"/>
        <v>81000</v>
      </c>
    </row>
    <row r="490" spans="2:6" x14ac:dyDescent="0.2">
      <c r="B490" s="112"/>
      <c r="C490" s="2" t="s">
        <v>126</v>
      </c>
      <c r="D490" s="45"/>
      <c r="E490" s="2">
        <v>110000</v>
      </c>
      <c r="F490" s="9">
        <f t="shared" si="17"/>
        <v>0</v>
      </c>
    </row>
    <row r="491" spans="2:6" x14ac:dyDescent="0.2">
      <c r="B491" s="112">
        <v>0.5</v>
      </c>
      <c r="C491" s="2" t="s">
        <v>153</v>
      </c>
      <c r="D491" s="45"/>
      <c r="E491" s="2">
        <v>225000</v>
      </c>
      <c r="F491" s="9">
        <f t="shared" si="17"/>
        <v>112500</v>
      </c>
    </row>
    <row r="492" spans="2:6" x14ac:dyDescent="0.2">
      <c r="B492" s="112"/>
      <c r="C492" s="2" t="s">
        <v>141</v>
      </c>
      <c r="D492" s="130"/>
      <c r="E492" s="2">
        <v>21500</v>
      </c>
      <c r="F492" s="9">
        <f t="shared" si="17"/>
        <v>0</v>
      </c>
    </row>
    <row r="493" spans="2:6" x14ac:dyDescent="0.2">
      <c r="B493" s="112"/>
      <c r="C493" s="2" t="s">
        <v>144</v>
      </c>
      <c r="D493" s="128"/>
      <c r="E493" s="129">
        <v>22500</v>
      </c>
      <c r="F493" s="9">
        <f t="shared" si="17"/>
        <v>0</v>
      </c>
    </row>
    <row r="494" spans="2:6" x14ac:dyDescent="0.2">
      <c r="B494" s="113"/>
      <c r="C494" s="2" t="s">
        <v>147</v>
      </c>
      <c r="D494" s="80"/>
      <c r="E494" s="2">
        <v>7000</v>
      </c>
      <c r="F494" s="9">
        <f t="shared" si="17"/>
        <v>0</v>
      </c>
    </row>
    <row r="495" spans="2:6" x14ac:dyDescent="0.2">
      <c r="B495" s="112"/>
      <c r="C495" s="2" t="s">
        <v>173</v>
      </c>
      <c r="D495" s="45"/>
      <c r="E495" s="2">
        <v>207000</v>
      </c>
      <c r="F495" s="9">
        <f t="shared" si="17"/>
        <v>0</v>
      </c>
    </row>
    <row r="496" spans="2:6" x14ac:dyDescent="0.2">
      <c r="B496" s="112"/>
      <c r="C496" s="2" t="s">
        <v>159</v>
      </c>
      <c r="D496" s="45"/>
      <c r="E496" s="2"/>
      <c r="F496" s="9">
        <f t="shared" si="17"/>
        <v>0</v>
      </c>
    </row>
    <row r="497" spans="1:6" x14ac:dyDescent="0.2">
      <c r="B497" s="112">
        <v>0.5</v>
      </c>
      <c r="C497" s="2" t="s">
        <v>148</v>
      </c>
      <c r="D497" s="45"/>
      <c r="E497" s="2">
        <v>223000</v>
      </c>
      <c r="F497" s="9">
        <f t="shared" si="17"/>
        <v>111500</v>
      </c>
    </row>
    <row r="498" spans="1:6" x14ac:dyDescent="0.2">
      <c r="B498" s="127"/>
      <c r="C498" s="2" t="s">
        <v>176</v>
      </c>
      <c r="D498" s="45"/>
      <c r="E498" s="2">
        <v>18000</v>
      </c>
      <c r="F498" s="9">
        <f t="shared" si="17"/>
        <v>0</v>
      </c>
    </row>
    <row r="499" spans="1:6" x14ac:dyDescent="0.2">
      <c r="B499" s="112"/>
      <c r="C499" s="2" t="s">
        <v>169</v>
      </c>
      <c r="D499" s="45"/>
      <c r="E499" s="2"/>
      <c r="F499" s="9">
        <f t="shared" si="17"/>
        <v>0</v>
      </c>
    </row>
    <row r="500" spans="1:6" x14ac:dyDescent="0.2">
      <c r="B500" s="112"/>
      <c r="C500" s="2" t="s">
        <v>168</v>
      </c>
      <c r="D500" s="45"/>
      <c r="E500" s="2"/>
      <c r="F500" s="9">
        <f t="shared" si="17"/>
        <v>0</v>
      </c>
    </row>
    <row r="501" spans="1:6" x14ac:dyDescent="0.2">
      <c r="B501" s="112"/>
      <c r="C501" s="2" t="s">
        <v>179</v>
      </c>
      <c r="D501" s="45"/>
      <c r="E501" s="2">
        <v>22500</v>
      </c>
      <c r="F501" s="9">
        <f t="shared" si="17"/>
        <v>0</v>
      </c>
    </row>
    <row r="502" spans="1:6" x14ac:dyDescent="0.2">
      <c r="B502" s="112"/>
      <c r="C502" s="56"/>
      <c r="D502" s="45"/>
      <c r="E502" s="2"/>
      <c r="F502" s="9">
        <f>(B502-D502) *E502</f>
        <v>0</v>
      </c>
    </row>
    <row r="503" spans="1:6" x14ac:dyDescent="0.2">
      <c r="B503" s="8"/>
      <c r="C503" s="159" t="s">
        <v>204</v>
      </c>
      <c r="D503" s="160"/>
      <c r="E503" s="161"/>
      <c r="F503" s="70"/>
    </row>
    <row r="504" spans="1:6" ht="15.75" thickBot="1" x14ac:dyDescent="0.25">
      <c r="B504" s="144"/>
      <c r="C504" s="145"/>
      <c r="D504" s="145"/>
      <c r="E504" s="146"/>
      <c r="F504" s="67">
        <f>SUM(F469:F503)</f>
        <v>1638500</v>
      </c>
    </row>
    <row r="505" spans="1:6" x14ac:dyDescent="0.2">
      <c r="B505" s="165" t="s">
        <v>7</v>
      </c>
      <c r="C505" s="166"/>
      <c r="D505" s="166"/>
      <c r="E505" s="167"/>
      <c r="F505" s="68">
        <v>2969000</v>
      </c>
    </row>
    <row r="506" spans="1:6" x14ac:dyDescent="0.2">
      <c r="B506" s="147" t="s">
        <v>8</v>
      </c>
      <c r="C506" s="148"/>
      <c r="D506" s="148"/>
      <c r="E506" s="149"/>
      <c r="F506" s="28">
        <f>F504+F505</f>
        <v>4607500</v>
      </c>
    </row>
    <row r="507" spans="1:6" x14ac:dyDescent="0.2">
      <c r="B507" s="147" t="s">
        <v>9</v>
      </c>
      <c r="C507" s="148"/>
      <c r="D507" s="148"/>
      <c r="E507" s="149"/>
      <c r="F507" s="39">
        <v>1607000</v>
      </c>
    </row>
    <row r="508" spans="1:6" ht="15.75" thickBot="1" x14ac:dyDescent="0.25">
      <c r="B508" s="150" t="s">
        <v>10</v>
      </c>
      <c r="C508" s="151"/>
      <c r="D508" s="151"/>
      <c r="E508" s="152"/>
      <c r="F508" s="12">
        <f>F507-F506</f>
        <v>-3000500</v>
      </c>
    </row>
    <row r="509" spans="1:6" ht="15.75" thickBot="1" x14ac:dyDescent="0.25"/>
    <row r="510" spans="1:6" x14ac:dyDescent="0.2">
      <c r="A510" s="27" t="s">
        <v>36</v>
      </c>
      <c r="B510" s="6" t="s">
        <v>2</v>
      </c>
      <c r="C510" s="156">
        <f>C464</f>
        <v>46315</v>
      </c>
      <c r="D510" s="157"/>
      <c r="E510" s="157"/>
      <c r="F510" s="158"/>
    </row>
    <row r="511" spans="1:6" x14ac:dyDescent="0.2">
      <c r="B511" s="7" t="s">
        <v>0</v>
      </c>
      <c r="C511" s="142" t="s">
        <v>131</v>
      </c>
      <c r="D511" s="142"/>
      <c r="E511" s="142"/>
      <c r="F511" s="143"/>
    </row>
    <row r="512" spans="1:6" x14ac:dyDescent="0.2">
      <c r="B512" s="7" t="s">
        <v>1</v>
      </c>
      <c r="C512" s="142" t="s">
        <v>101</v>
      </c>
      <c r="D512" s="142"/>
      <c r="E512" s="142"/>
      <c r="F512" s="143"/>
    </row>
    <row r="513" spans="2:6" ht="15.75" thickBot="1" x14ac:dyDescent="0.25">
      <c r="B513" s="7"/>
      <c r="C513" s="162"/>
      <c r="D513" s="162"/>
      <c r="E513" s="162"/>
      <c r="F513" s="163"/>
    </row>
    <row r="514" spans="2:6" x14ac:dyDescent="0.2">
      <c r="B514" s="91" t="s">
        <v>108</v>
      </c>
      <c r="C514" s="39" t="s">
        <v>3</v>
      </c>
      <c r="D514" s="92" t="s">
        <v>4</v>
      </c>
      <c r="E514" s="93"/>
      <c r="F514" s="94" t="s">
        <v>5</v>
      </c>
    </row>
    <row r="515" spans="2:6" x14ac:dyDescent="0.2">
      <c r="B515" s="8"/>
      <c r="C515" s="35" t="s">
        <v>67</v>
      </c>
      <c r="D515" s="60"/>
      <c r="E515" s="2">
        <v>3750</v>
      </c>
      <c r="F515" s="9">
        <f t="shared" ref="F515:F548" si="18">(B515-D515) *E515</f>
        <v>0</v>
      </c>
    </row>
    <row r="516" spans="2:6" x14ac:dyDescent="0.2">
      <c r="B516" s="84"/>
      <c r="C516" s="1" t="s">
        <v>14</v>
      </c>
      <c r="D516" s="80"/>
      <c r="E516" s="56">
        <v>9250</v>
      </c>
      <c r="F516" s="81">
        <f t="shared" si="18"/>
        <v>0</v>
      </c>
    </row>
    <row r="517" spans="2:6" x14ac:dyDescent="0.2">
      <c r="B517" s="83">
        <v>50</v>
      </c>
      <c r="C517" s="1" t="s">
        <v>15</v>
      </c>
      <c r="D517" s="45"/>
      <c r="E517" s="2">
        <v>4750</v>
      </c>
      <c r="F517" s="9">
        <f t="shared" si="18"/>
        <v>237500</v>
      </c>
    </row>
    <row r="518" spans="2:6" x14ac:dyDescent="0.2">
      <c r="B518" s="83">
        <v>10</v>
      </c>
      <c r="C518" s="1" t="s">
        <v>62</v>
      </c>
      <c r="D518" s="45"/>
      <c r="E518" s="2">
        <v>17000</v>
      </c>
      <c r="F518" s="9">
        <f t="shared" si="18"/>
        <v>170000</v>
      </c>
    </row>
    <row r="519" spans="2:6" x14ac:dyDescent="0.2">
      <c r="B519" s="83">
        <v>2</v>
      </c>
      <c r="C519" s="1" t="s">
        <v>18</v>
      </c>
      <c r="D519" s="45"/>
      <c r="E519" s="2">
        <v>78000</v>
      </c>
      <c r="F519" s="9">
        <f t="shared" si="18"/>
        <v>156000</v>
      </c>
    </row>
    <row r="520" spans="2:6" x14ac:dyDescent="0.2">
      <c r="B520" s="83">
        <v>1</v>
      </c>
      <c r="C520" s="1" t="s">
        <v>139</v>
      </c>
      <c r="D520" s="45"/>
      <c r="E520" s="2">
        <v>85000</v>
      </c>
      <c r="F520" s="9">
        <f t="shared" si="18"/>
        <v>85000</v>
      </c>
    </row>
    <row r="521" spans="2:6" x14ac:dyDescent="0.2">
      <c r="B521" s="83"/>
      <c r="C521" s="1" t="s">
        <v>123</v>
      </c>
      <c r="D521" s="45"/>
      <c r="E521" s="2">
        <v>2200</v>
      </c>
      <c r="F521" s="9">
        <f t="shared" si="18"/>
        <v>0</v>
      </c>
    </row>
    <row r="522" spans="2:6" x14ac:dyDescent="0.2">
      <c r="B522" s="83"/>
      <c r="C522" s="1" t="s">
        <v>199</v>
      </c>
      <c r="D522" s="45"/>
      <c r="E522" s="2">
        <v>3120</v>
      </c>
      <c r="F522" s="9">
        <f t="shared" si="18"/>
        <v>0</v>
      </c>
    </row>
    <row r="523" spans="2:6" x14ac:dyDescent="0.2">
      <c r="B523" s="83"/>
      <c r="C523" s="2" t="s">
        <v>74</v>
      </c>
      <c r="D523" s="45"/>
      <c r="E523" s="2">
        <v>3700</v>
      </c>
      <c r="F523" s="9">
        <f t="shared" si="18"/>
        <v>0</v>
      </c>
    </row>
    <row r="524" spans="2:6" x14ac:dyDescent="0.2">
      <c r="B524" s="83"/>
      <c r="C524" s="2" t="s">
        <v>79</v>
      </c>
      <c r="D524" s="45"/>
      <c r="E524" s="2">
        <v>4500</v>
      </c>
      <c r="F524" s="9">
        <f t="shared" si="18"/>
        <v>0</v>
      </c>
    </row>
    <row r="525" spans="2:6" x14ac:dyDescent="0.2">
      <c r="B525" s="83">
        <v>15</v>
      </c>
      <c r="C525" s="2" t="s">
        <v>145</v>
      </c>
      <c r="D525" s="45"/>
      <c r="E525" s="2">
        <v>3700</v>
      </c>
      <c r="F525" s="9">
        <f t="shared" si="18"/>
        <v>55500</v>
      </c>
    </row>
    <row r="526" spans="2:6" x14ac:dyDescent="0.2">
      <c r="B526" s="83"/>
      <c r="C526" s="2" t="s">
        <v>152</v>
      </c>
      <c r="D526" s="45"/>
      <c r="E526" s="2">
        <v>54000</v>
      </c>
      <c r="F526" s="9">
        <f t="shared" si="18"/>
        <v>0</v>
      </c>
    </row>
    <row r="527" spans="2:6" x14ac:dyDescent="0.2">
      <c r="B527" s="83"/>
      <c r="C527" s="2" t="s">
        <v>166</v>
      </c>
      <c r="D527" s="45"/>
      <c r="E527" s="2">
        <v>6800</v>
      </c>
      <c r="F527" s="9">
        <f t="shared" si="18"/>
        <v>0</v>
      </c>
    </row>
    <row r="528" spans="2:6" x14ac:dyDescent="0.2">
      <c r="B528" s="83"/>
      <c r="C528" s="2" t="s">
        <v>174</v>
      </c>
      <c r="D528" s="45"/>
      <c r="E528" s="2"/>
      <c r="F528" s="9">
        <f t="shared" si="18"/>
        <v>0</v>
      </c>
    </row>
    <row r="529" spans="2:6" x14ac:dyDescent="0.2">
      <c r="B529" s="85">
        <v>15</v>
      </c>
      <c r="C529" s="2" t="s">
        <v>175</v>
      </c>
      <c r="D529" s="45"/>
      <c r="E529" s="2">
        <v>23700</v>
      </c>
      <c r="F529" s="9">
        <f t="shared" si="18"/>
        <v>355500</v>
      </c>
    </row>
    <row r="530" spans="2:6" x14ac:dyDescent="0.2">
      <c r="B530" s="83"/>
      <c r="C530" s="2" t="s">
        <v>172</v>
      </c>
      <c r="D530" s="45"/>
      <c r="E530" s="2">
        <v>168000</v>
      </c>
      <c r="F530" s="9">
        <f t="shared" si="18"/>
        <v>0</v>
      </c>
    </row>
    <row r="531" spans="2:6" x14ac:dyDescent="0.2">
      <c r="B531" s="83">
        <v>2</v>
      </c>
      <c r="C531" s="56" t="s">
        <v>142</v>
      </c>
      <c r="D531" s="45"/>
      <c r="E531" s="2">
        <v>175000</v>
      </c>
      <c r="F531" s="9">
        <f t="shared" si="18"/>
        <v>350000</v>
      </c>
    </row>
    <row r="532" spans="2:6" x14ac:dyDescent="0.2">
      <c r="B532" s="83">
        <v>15</v>
      </c>
      <c r="C532" s="2" t="s">
        <v>146</v>
      </c>
      <c r="D532" s="45"/>
      <c r="E532" s="2">
        <v>9000</v>
      </c>
      <c r="F532" s="9">
        <f t="shared" si="18"/>
        <v>135000</v>
      </c>
    </row>
    <row r="533" spans="2:6" x14ac:dyDescent="0.2">
      <c r="B533" s="83">
        <v>0.5</v>
      </c>
      <c r="C533" s="2" t="s">
        <v>121</v>
      </c>
      <c r="D533" s="45"/>
      <c r="E533" s="2">
        <v>188000</v>
      </c>
      <c r="F533" s="9">
        <f t="shared" si="18"/>
        <v>94000</v>
      </c>
    </row>
    <row r="534" spans="2:6" x14ac:dyDescent="0.2">
      <c r="B534" s="83">
        <v>0.5</v>
      </c>
      <c r="C534" s="2" t="s">
        <v>122</v>
      </c>
      <c r="D534" s="45"/>
      <c r="E534" s="2">
        <v>186000</v>
      </c>
      <c r="F534" s="9">
        <f t="shared" si="18"/>
        <v>93000</v>
      </c>
    </row>
    <row r="535" spans="2:6" x14ac:dyDescent="0.2">
      <c r="B535" s="83">
        <v>1</v>
      </c>
      <c r="C535" s="2" t="s">
        <v>143</v>
      </c>
      <c r="D535" s="45"/>
      <c r="E535" s="2">
        <v>162000</v>
      </c>
      <c r="F535" s="9">
        <f t="shared" si="18"/>
        <v>162000</v>
      </c>
    </row>
    <row r="536" spans="2:6" x14ac:dyDescent="0.2">
      <c r="B536" s="83"/>
      <c r="C536" s="2" t="s">
        <v>126</v>
      </c>
      <c r="D536" s="45"/>
      <c r="E536" s="2">
        <v>110000</v>
      </c>
      <c r="F536" s="9">
        <f t="shared" si="18"/>
        <v>0</v>
      </c>
    </row>
    <row r="537" spans="2:6" x14ac:dyDescent="0.2">
      <c r="B537" s="83">
        <v>2</v>
      </c>
      <c r="C537" s="2" t="s">
        <v>153</v>
      </c>
      <c r="D537" s="45"/>
      <c r="E537" s="2">
        <v>225000</v>
      </c>
      <c r="F537" s="9">
        <f t="shared" si="18"/>
        <v>450000</v>
      </c>
    </row>
    <row r="538" spans="2:6" x14ac:dyDescent="0.2">
      <c r="B538" s="83"/>
      <c r="C538" s="2" t="s">
        <v>141</v>
      </c>
      <c r="D538" s="45"/>
      <c r="E538" s="2">
        <v>21500</v>
      </c>
      <c r="F538" s="9">
        <f t="shared" si="18"/>
        <v>0</v>
      </c>
    </row>
    <row r="539" spans="2:6" x14ac:dyDescent="0.2">
      <c r="B539" s="83"/>
      <c r="C539" s="2" t="s">
        <v>144</v>
      </c>
      <c r="D539" s="45"/>
      <c r="E539" s="2">
        <v>22500</v>
      </c>
      <c r="F539" s="9">
        <f t="shared" si="18"/>
        <v>0</v>
      </c>
    </row>
    <row r="540" spans="2:6" x14ac:dyDescent="0.2">
      <c r="B540" s="84">
        <v>20</v>
      </c>
      <c r="C540" s="2" t="s">
        <v>147</v>
      </c>
      <c r="D540" s="45"/>
      <c r="E540" s="2">
        <v>7000</v>
      </c>
      <c r="F540" s="9">
        <f t="shared" si="18"/>
        <v>140000</v>
      </c>
    </row>
    <row r="541" spans="2:6" x14ac:dyDescent="0.2">
      <c r="B541" s="83">
        <v>1</v>
      </c>
      <c r="C541" s="2" t="s">
        <v>173</v>
      </c>
      <c r="D541" s="45"/>
      <c r="E541" s="2">
        <v>206400</v>
      </c>
      <c r="F541" s="9">
        <f t="shared" si="18"/>
        <v>206400</v>
      </c>
    </row>
    <row r="542" spans="2:6" x14ac:dyDescent="0.2">
      <c r="B542" s="83"/>
      <c r="C542" s="2" t="s">
        <v>159</v>
      </c>
      <c r="D542" s="135"/>
      <c r="E542" s="2">
        <v>3500</v>
      </c>
      <c r="F542" s="134">
        <f t="shared" si="18"/>
        <v>0</v>
      </c>
    </row>
    <row r="543" spans="2:6" x14ac:dyDescent="0.2">
      <c r="B543" s="83"/>
      <c r="C543" s="2" t="s">
        <v>148</v>
      </c>
      <c r="D543" s="45"/>
      <c r="E543" s="2"/>
      <c r="F543" s="9">
        <f t="shared" si="18"/>
        <v>0</v>
      </c>
    </row>
    <row r="544" spans="2:6" x14ac:dyDescent="0.2">
      <c r="B544" s="83"/>
      <c r="C544" s="2"/>
      <c r="D544" s="45"/>
      <c r="E544" s="2"/>
      <c r="F544" s="9">
        <f t="shared" si="18"/>
        <v>0</v>
      </c>
    </row>
    <row r="545" spans="1:6" x14ac:dyDescent="0.2">
      <c r="B545" s="83">
        <v>50</v>
      </c>
      <c r="C545" s="2" t="s">
        <v>167</v>
      </c>
      <c r="D545" s="45"/>
      <c r="E545" s="2">
        <v>4800</v>
      </c>
      <c r="F545" s="9">
        <f t="shared" si="18"/>
        <v>240000</v>
      </c>
    </row>
    <row r="546" spans="1:6" x14ac:dyDescent="0.2">
      <c r="B546" s="83">
        <v>50</v>
      </c>
      <c r="C546" s="2" t="s">
        <v>168</v>
      </c>
      <c r="D546" s="45"/>
      <c r="E546" s="2">
        <v>3800</v>
      </c>
      <c r="F546" s="9">
        <f t="shared" si="18"/>
        <v>190000</v>
      </c>
    </row>
    <row r="547" spans="1:6" x14ac:dyDescent="0.2">
      <c r="B547" s="83"/>
      <c r="C547" s="2" t="s">
        <v>179</v>
      </c>
      <c r="D547" s="45"/>
      <c r="E547" s="2">
        <v>22500</v>
      </c>
      <c r="F547" s="9">
        <f t="shared" si="18"/>
        <v>0</v>
      </c>
    </row>
    <row r="548" spans="1:6" x14ac:dyDescent="0.2">
      <c r="B548" s="83"/>
      <c r="C548" s="56"/>
      <c r="D548" s="45"/>
      <c r="E548" s="2"/>
      <c r="F548" s="9">
        <f t="shared" si="18"/>
        <v>0</v>
      </c>
    </row>
    <row r="549" spans="1:6" x14ac:dyDescent="0.2">
      <c r="B549" s="8"/>
      <c r="C549" s="159"/>
      <c r="D549" s="160"/>
      <c r="E549" s="161"/>
      <c r="F549" s="70"/>
    </row>
    <row r="550" spans="1:6" ht="15.75" thickBot="1" x14ac:dyDescent="0.25">
      <c r="B550" s="144" t="s">
        <v>11</v>
      </c>
      <c r="C550" s="145"/>
      <c r="D550" s="145"/>
      <c r="E550" s="146"/>
      <c r="F550" s="10">
        <f>SUM(F515:F549)</f>
        <v>3119900</v>
      </c>
    </row>
    <row r="551" spans="1:6" x14ac:dyDescent="0.2">
      <c r="B551" s="153" t="s">
        <v>7</v>
      </c>
      <c r="C551" s="154"/>
      <c r="D551" s="154"/>
      <c r="E551" s="155"/>
      <c r="F551" s="17"/>
    </row>
    <row r="552" spans="1:6" x14ac:dyDescent="0.2">
      <c r="B552" s="147" t="s">
        <v>8</v>
      </c>
      <c r="C552" s="148"/>
      <c r="D552" s="148"/>
      <c r="E552" s="149"/>
      <c r="F552" s="28">
        <f>F550+F551</f>
        <v>3119900</v>
      </c>
    </row>
    <row r="553" spans="1:6" x14ac:dyDescent="0.2">
      <c r="B553" s="147" t="s">
        <v>9</v>
      </c>
      <c r="C553" s="148"/>
      <c r="D553" s="148"/>
      <c r="E553" s="149"/>
      <c r="F553" s="39"/>
    </row>
    <row r="554" spans="1:6" ht="15.75" thickBot="1" x14ac:dyDescent="0.25">
      <c r="B554" s="150" t="s">
        <v>10</v>
      </c>
      <c r="C554" s="151"/>
      <c r="D554" s="151"/>
      <c r="E554" s="152"/>
      <c r="F554" s="12">
        <f>F553-F552</f>
        <v>-3119900</v>
      </c>
    </row>
    <row r="555" spans="1:6" ht="15.75" thickBot="1" x14ac:dyDescent="0.25"/>
    <row r="556" spans="1:6" x14ac:dyDescent="0.2">
      <c r="A556" s="27" t="s">
        <v>37</v>
      </c>
      <c r="B556" s="6" t="s">
        <v>2</v>
      </c>
      <c r="C556" s="156">
        <f>C510</f>
        <v>46315</v>
      </c>
      <c r="D556" s="157"/>
      <c r="E556" s="157"/>
      <c r="F556" s="158"/>
    </row>
    <row r="557" spans="1:6" x14ac:dyDescent="0.2">
      <c r="B557" s="7" t="s">
        <v>0</v>
      </c>
      <c r="C557" s="142" t="s">
        <v>119</v>
      </c>
      <c r="D557" s="142"/>
      <c r="E557" s="142"/>
      <c r="F557" s="143"/>
    </row>
    <row r="558" spans="1:6" x14ac:dyDescent="0.2">
      <c r="B558" s="7" t="s">
        <v>1</v>
      </c>
      <c r="C558" s="142" t="s">
        <v>97</v>
      </c>
      <c r="D558" s="142"/>
      <c r="E558" s="142"/>
      <c r="F558" s="143"/>
    </row>
    <row r="559" spans="1:6" ht="15.75" thickBot="1" x14ac:dyDescent="0.25">
      <c r="B559" s="7"/>
      <c r="C559" s="162"/>
      <c r="D559" s="162"/>
      <c r="E559" s="162"/>
      <c r="F559" s="163"/>
    </row>
    <row r="560" spans="1:6" x14ac:dyDescent="0.2">
      <c r="B560" s="91" t="s">
        <v>108</v>
      </c>
      <c r="C560" s="92" t="s">
        <v>3</v>
      </c>
      <c r="D560" s="92" t="s">
        <v>4</v>
      </c>
      <c r="E560" s="93"/>
      <c r="F560" s="94" t="s">
        <v>5</v>
      </c>
    </row>
    <row r="561" spans="2:6" x14ac:dyDescent="0.2">
      <c r="B561" s="8"/>
      <c r="C561" s="35" t="s">
        <v>67</v>
      </c>
      <c r="D561" s="60"/>
      <c r="E561" s="2">
        <v>3750</v>
      </c>
      <c r="F561" s="9">
        <f t="shared" ref="F561:F594" si="19">(B561-D561) *E561</f>
        <v>0</v>
      </c>
    </row>
    <row r="562" spans="2:6" x14ac:dyDescent="0.2">
      <c r="B562" s="84"/>
      <c r="C562" s="1" t="s">
        <v>14</v>
      </c>
      <c r="D562" s="80"/>
      <c r="E562" s="56">
        <v>9250</v>
      </c>
      <c r="F562" s="81">
        <f t="shared" si="19"/>
        <v>0</v>
      </c>
    </row>
    <row r="563" spans="2:6" x14ac:dyDescent="0.2">
      <c r="B563" s="83"/>
      <c r="C563" s="1" t="s">
        <v>15</v>
      </c>
      <c r="D563" s="45"/>
      <c r="E563" s="2">
        <v>4750</v>
      </c>
      <c r="F563" s="9">
        <f t="shared" si="19"/>
        <v>0</v>
      </c>
    </row>
    <row r="564" spans="2:6" x14ac:dyDescent="0.2">
      <c r="B564" s="83"/>
      <c r="C564" s="1" t="s">
        <v>62</v>
      </c>
      <c r="D564" s="45"/>
      <c r="E564" s="2">
        <v>17000</v>
      </c>
      <c r="F564" s="9">
        <f t="shared" si="19"/>
        <v>0</v>
      </c>
    </row>
    <row r="565" spans="2:6" x14ac:dyDescent="0.2">
      <c r="B565" s="83"/>
      <c r="C565" s="1" t="s">
        <v>18</v>
      </c>
      <c r="D565" s="45"/>
      <c r="E565" s="2"/>
      <c r="F565" s="9">
        <f t="shared" si="19"/>
        <v>0</v>
      </c>
    </row>
    <row r="566" spans="2:6" x14ac:dyDescent="0.2">
      <c r="B566" s="83"/>
      <c r="C566" s="1" t="s">
        <v>139</v>
      </c>
      <c r="D566" s="45"/>
      <c r="E566" s="2"/>
      <c r="F566" s="9">
        <f t="shared" si="19"/>
        <v>0</v>
      </c>
    </row>
    <row r="567" spans="2:6" x14ac:dyDescent="0.2">
      <c r="B567" s="83"/>
      <c r="C567" s="1" t="s">
        <v>123</v>
      </c>
      <c r="D567" s="45"/>
      <c r="E567" s="2"/>
      <c r="F567" s="9">
        <f t="shared" si="19"/>
        <v>0</v>
      </c>
    </row>
    <row r="568" spans="2:6" x14ac:dyDescent="0.2">
      <c r="B568" s="83"/>
      <c r="C568" s="1" t="s">
        <v>151</v>
      </c>
      <c r="D568" s="45"/>
      <c r="E568" s="2"/>
      <c r="F568" s="9">
        <f t="shared" si="19"/>
        <v>0</v>
      </c>
    </row>
    <row r="569" spans="2:6" x14ac:dyDescent="0.2">
      <c r="B569" s="83"/>
      <c r="C569" s="2" t="s">
        <v>74</v>
      </c>
      <c r="D569" s="45"/>
      <c r="E569" s="2"/>
      <c r="F569" s="9">
        <f t="shared" si="19"/>
        <v>0</v>
      </c>
    </row>
    <row r="570" spans="2:6" x14ac:dyDescent="0.2">
      <c r="B570" s="83"/>
      <c r="C570" s="2" t="s">
        <v>79</v>
      </c>
      <c r="D570" s="45"/>
      <c r="E570" s="2"/>
      <c r="F570" s="9">
        <f t="shared" si="19"/>
        <v>0</v>
      </c>
    </row>
    <row r="571" spans="2:6" x14ac:dyDescent="0.2">
      <c r="B571" s="83"/>
      <c r="C571" s="2" t="s">
        <v>145</v>
      </c>
      <c r="D571" s="45"/>
      <c r="E571" s="2"/>
      <c r="F571" s="9">
        <f t="shared" si="19"/>
        <v>0</v>
      </c>
    </row>
    <row r="572" spans="2:6" x14ac:dyDescent="0.2">
      <c r="B572" s="83"/>
      <c r="C572" s="2" t="s">
        <v>152</v>
      </c>
      <c r="D572" s="45"/>
      <c r="E572" s="2"/>
      <c r="F572" s="9">
        <f t="shared" si="19"/>
        <v>0</v>
      </c>
    </row>
    <row r="573" spans="2:6" x14ac:dyDescent="0.2">
      <c r="B573" s="83"/>
      <c r="C573" s="2" t="s">
        <v>166</v>
      </c>
      <c r="D573" s="45"/>
      <c r="E573" s="2"/>
      <c r="F573" s="9">
        <f t="shared" si="19"/>
        <v>0</v>
      </c>
    </row>
    <row r="574" spans="2:6" x14ac:dyDescent="0.2">
      <c r="B574" s="83"/>
      <c r="C574" s="2" t="s">
        <v>174</v>
      </c>
      <c r="D574" s="45"/>
      <c r="E574" s="2"/>
      <c r="F574" s="9">
        <f t="shared" si="19"/>
        <v>0</v>
      </c>
    </row>
    <row r="575" spans="2:6" x14ac:dyDescent="0.2">
      <c r="B575" s="85"/>
      <c r="C575" s="2" t="s">
        <v>175</v>
      </c>
      <c r="D575" s="45"/>
      <c r="E575" s="2"/>
      <c r="F575" s="9">
        <f t="shared" si="19"/>
        <v>0</v>
      </c>
    </row>
    <row r="576" spans="2:6" x14ac:dyDescent="0.2">
      <c r="B576" s="83"/>
      <c r="C576" s="2" t="s">
        <v>172</v>
      </c>
      <c r="D576" s="45"/>
      <c r="E576" s="2"/>
      <c r="F576" s="9">
        <f t="shared" si="19"/>
        <v>0</v>
      </c>
    </row>
    <row r="577" spans="2:6" x14ac:dyDescent="0.2">
      <c r="B577" s="83"/>
      <c r="C577" s="56" t="s">
        <v>142</v>
      </c>
      <c r="D577" s="45"/>
      <c r="E577" s="2"/>
      <c r="F577" s="9">
        <f t="shared" si="19"/>
        <v>0</v>
      </c>
    </row>
    <row r="578" spans="2:6" x14ac:dyDescent="0.2">
      <c r="B578" s="83"/>
      <c r="C578" s="2" t="s">
        <v>146</v>
      </c>
      <c r="D578" s="45"/>
      <c r="E578" s="2"/>
      <c r="F578" s="9">
        <f t="shared" si="19"/>
        <v>0</v>
      </c>
    </row>
    <row r="579" spans="2:6" x14ac:dyDescent="0.2">
      <c r="B579" s="83"/>
      <c r="C579" s="2" t="s">
        <v>121</v>
      </c>
      <c r="D579" s="45"/>
      <c r="E579" s="2"/>
      <c r="F579" s="9">
        <f t="shared" si="19"/>
        <v>0</v>
      </c>
    </row>
    <row r="580" spans="2:6" x14ac:dyDescent="0.2">
      <c r="B580" s="83"/>
      <c r="C580" s="2" t="s">
        <v>122</v>
      </c>
      <c r="D580" s="45"/>
      <c r="E580" s="2"/>
      <c r="F580" s="9">
        <f t="shared" si="19"/>
        <v>0</v>
      </c>
    </row>
    <row r="581" spans="2:6" x14ac:dyDescent="0.2">
      <c r="B581" s="83"/>
      <c r="C581" s="2" t="s">
        <v>143</v>
      </c>
      <c r="D581" s="45"/>
      <c r="E581" s="2"/>
      <c r="F581" s="9">
        <f t="shared" si="19"/>
        <v>0</v>
      </c>
    </row>
    <row r="582" spans="2:6" x14ac:dyDescent="0.2">
      <c r="B582" s="83"/>
      <c r="C582" s="2" t="s">
        <v>126</v>
      </c>
      <c r="D582" s="45"/>
      <c r="E582" s="2"/>
      <c r="F582" s="9">
        <f t="shared" si="19"/>
        <v>0</v>
      </c>
    </row>
    <row r="583" spans="2:6" x14ac:dyDescent="0.2">
      <c r="B583" s="83"/>
      <c r="C583" s="2" t="s">
        <v>153</v>
      </c>
      <c r="D583" s="45"/>
      <c r="E583" s="2"/>
      <c r="F583" s="9">
        <f t="shared" si="19"/>
        <v>0</v>
      </c>
    </row>
    <row r="584" spans="2:6" x14ac:dyDescent="0.2">
      <c r="B584" s="83"/>
      <c r="C584" s="2" t="s">
        <v>141</v>
      </c>
      <c r="D584" s="45"/>
      <c r="E584" s="2"/>
      <c r="F584" s="9">
        <f t="shared" si="19"/>
        <v>0</v>
      </c>
    </row>
    <row r="585" spans="2:6" x14ac:dyDescent="0.2">
      <c r="B585" s="83"/>
      <c r="C585" s="2" t="s">
        <v>144</v>
      </c>
      <c r="D585" s="45"/>
      <c r="E585" s="2"/>
      <c r="F585" s="9">
        <f t="shared" si="19"/>
        <v>0</v>
      </c>
    </row>
    <row r="586" spans="2:6" x14ac:dyDescent="0.2">
      <c r="B586" s="84"/>
      <c r="C586" s="2" t="s">
        <v>147</v>
      </c>
      <c r="D586" s="45"/>
      <c r="E586" s="2"/>
      <c r="F586" s="9">
        <f t="shared" si="19"/>
        <v>0</v>
      </c>
    </row>
    <row r="587" spans="2:6" x14ac:dyDescent="0.2">
      <c r="B587" s="83"/>
      <c r="C587" s="2" t="s">
        <v>173</v>
      </c>
      <c r="D587" s="45"/>
      <c r="E587" s="2"/>
      <c r="F587" s="9">
        <f t="shared" si="19"/>
        <v>0</v>
      </c>
    </row>
    <row r="588" spans="2:6" x14ac:dyDescent="0.2">
      <c r="B588" s="83"/>
      <c r="C588" s="2" t="s">
        <v>159</v>
      </c>
      <c r="D588" s="45"/>
      <c r="E588" s="2"/>
      <c r="F588" s="9">
        <f t="shared" si="19"/>
        <v>0</v>
      </c>
    </row>
    <row r="589" spans="2:6" x14ac:dyDescent="0.2">
      <c r="B589" s="83"/>
      <c r="C589" s="2" t="s">
        <v>148</v>
      </c>
      <c r="D589" s="45"/>
      <c r="E589" s="2"/>
      <c r="F589" s="9">
        <f t="shared" si="19"/>
        <v>0</v>
      </c>
    </row>
    <row r="590" spans="2:6" x14ac:dyDescent="0.2">
      <c r="B590" s="83"/>
      <c r="C590" s="2" t="s">
        <v>149</v>
      </c>
      <c r="D590" s="45"/>
      <c r="E590" s="2"/>
      <c r="F590" s="9">
        <f t="shared" si="19"/>
        <v>0</v>
      </c>
    </row>
    <row r="591" spans="2:6" x14ac:dyDescent="0.2">
      <c r="B591" s="83"/>
      <c r="C591" s="2"/>
      <c r="D591" s="45"/>
      <c r="E591" s="2"/>
      <c r="F591" s="9">
        <f t="shared" si="19"/>
        <v>0</v>
      </c>
    </row>
    <row r="592" spans="2:6" x14ac:dyDescent="0.2">
      <c r="B592" s="83"/>
      <c r="C592" s="2"/>
      <c r="D592" s="45"/>
      <c r="E592" s="2"/>
      <c r="F592" s="9">
        <f t="shared" si="19"/>
        <v>0</v>
      </c>
    </row>
    <row r="593" spans="1:6" x14ac:dyDescent="0.2">
      <c r="B593" s="83"/>
      <c r="C593" s="2"/>
      <c r="D593" s="45"/>
      <c r="E593" s="2"/>
      <c r="F593" s="9">
        <f t="shared" si="19"/>
        <v>0</v>
      </c>
    </row>
    <row r="594" spans="1:6" x14ac:dyDescent="0.2">
      <c r="B594" s="83"/>
      <c r="C594" s="56"/>
      <c r="D594" s="45"/>
      <c r="E594" s="2"/>
      <c r="F594" s="9">
        <f t="shared" si="19"/>
        <v>0</v>
      </c>
    </row>
    <row r="595" spans="1:6" x14ac:dyDescent="0.2">
      <c r="B595" s="8"/>
      <c r="C595" s="159"/>
      <c r="D595" s="160"/>
      <c r="E595" s="161"/>
      <c r="F595" s="70"/>
    </row>
    <row r="596" spans="1:6" ht="15.75" thickBot="1" x14ac:dyDescent="0.25">
      <c r="B596" s="144" t="s">
        <v>11</v>
      </c>
      <c r="C596" s="145"/>
      <c r="D596" s="145"/>
      <c r="E596" s="146"/>
      <c r="F596" s="10">
        <f>SUM(F561:F595)</f>
        <v>0</v>
      </c>
    </row>
    <row r="597" spans="1:6" x14ac:dyDescent="0.2">
      <c r="B597" s="153" t="s">
        <v>7</v>
      </c>
      <c r="C597" s="154"/>
      <c r="D597" s="154"/>
      <c r="E597" s="155"/>
      <c r="F597" s="17">
        <v>486000</v>
      </c>
    </row>
    <row r="598" spans="1:6" x14ac:dyDescent="0.2">
      <c r="B598" s="147" t="s">
        <v>8</v>
      </c>
      <c r="C598" s="148"/>
      <c r="D598" s="148"/>
      <c r="E598" s="149"/>
      <c r="F598" s="28">
        <f>F596+F597</f>
        <v>486000</v>
      </c>
    </row>
    <row r="599" spans="1:6" x14ac:dyDescent="0.2">
      <c r="B599" s="147" t="s">
        <v>9</v>
      </c>
      <c r="C599" s="148"/>
      <c r="D599" s="148"/>
      <c r="E599" s="149"/>
      <c r="F599" s="39"/>
    </row>
    <row r="600" spans="1:6" ht="15.75" thickBot="1" x14ac:dyDescent="0.25">
      <c r="B600" s="150" t="s">
        <v>10</v>
      </c>
      <c r="C600" s="151"/>
      <c r="D600" s="151"/>
      <c r="E600" s="152"/>
      <c r="F600" s="12">
        <f>F599-F598</f>
        <v>-486000</v>
      </c>
    </row>
    <row r="601" spans="1:6" ht="15.75" thickBot="1" x14ac:dyDescent="0.25"/>
    <row r="602" spans="1:6" x14ac:dyDescent="0.2">
      <c r="A602" s="27" t="s">
        <v>38</v>
      </c>
      <c r="B602" s="6" t="s">
        <v>2</v>
      </c>
      <c r="C602" s="156"/>
      <c r="D602" s="157"/>
      <c r="E602" s="157"/>
      <c r="F602" s="158"/>
    </row>
    <row r="603" spans="1:6" x14ac:dyDescent="0.2">
      <c r="B603" s="7" t="s">
        <v>0</v>
      </c>
      <c r="C603" s="142" t="s">
        <v>103</v>
      </c>
      <c r="D603" s="142"/>
      <c r="E603" s="142"/>
      <c r="F603" s="143"/>
    </row>
    <row r="604" spans="1:6" x14ac:dyDescent="0.2">
      <c r="B604" s="7" t="s">
        <v>1</v>
      </c>
      <c r="C604" s="142" t="s">
        <v>101</v>
      </c>
      <c r="D604" s="142"/>
      <c r="E604" s="142"/>
      <c r="F604" s="143"/>
    </row>
    <row r="605" spans="1:6" ht="15.75" thickBot="1" x14ac:dyDescent="0.25">
      <c r="B605" s="7"/>
      <c r="C605" s="162"/>
      <c r="D605" s="162"/>
      <c r="E605" s="162"/>
      <c r="F605" s="163"/>
    </row>
    <row r="606" spans="1:6" x14ac:dyDescent="0.2">
      <c r="B606" s="91"/>
      <c r="C606" s="92" t="s">
        <v>3</v>
      </c>
      <c r="D606" s="92" t="s">
        <v>4</v>
      </c>
      <c r="E606" s="93"/>
      <c r="F606" s="94" t="s">
        <v>5</v>
      </c>
    </row>
    <row r="607" spans="1:6" x14ac:dyDescent="0.2">
      <c r="B607" s="8">
        <v>50</v>
      </c>
      <c r="C607" s="35" t="s">
        <v>67</v>
      </c>
      <c r="D607" s="60"/>
      <c r="E607" s="2">
        <v>3750</v>
      </c>
      <c r="F607" s="9">
        <f t="shared" ref="F607:F640" si="20">(B607-D607) *E607</f>
        <v>187500</v>
      </c>
    </row>
    <row r="608" spans="1:6" x14ac:dyDescent="0.2">
      <c r="B608" s="84"/>
      <c r="C608" s="1" t="s">
        <v>14</v>
      </c>
      <c r="D608" s="80"/>
      <c r="E608" s="56">
        <v>9250</v>
      </c>
      <c r="F608" s="81">
        <f t="shared" si="20"/>
        <v>0</v>
      </c>
    </row>
    <row r="609" spans="2:6" x14ac:dyDescent="0.2">
      <c r="B609" s="83">
        <v>25</v>
      </c>
      <c r="C609" s="1" t="s">
        <v>15</v>
      </c>
      <c r="D609" s="45"/>
      <c r="E609" s="2">
        <v>4750</v>
      </c>
      <c r="F609" s="9">
        <f t="shared" si="20"/>
        <v>118750</v>
      </c>
    </row>
    <row r="610" spans="2:6" x14ac:dyDescent="0.2">
      <c r="B610" s="83"/>
      <c r="C610" s="1" t="s">
        <v>62</v>
      </c>
      <c r="D610" s="45"/>
      <c r="E610" s="2">
        <v>17000</v>
      </c>
      <c r="F610" s="9">
        <f t="shared" si="20"/>
        <v>0</v>
      </c>
    </row>
    <row r="611" spans="2:6" x14ac:dyDescent="0.2">
      <c r="B611" s="83"/>
      <c r="C611" s="1" t="s">
        <v>18</v>
      </c>
      <c r="D611" s="45"/>
      <c r="E611" s="2">
        <v>78000</v>
      </c>
      <c r="F611" s="9">
        <f t="shared" si="20"/>
        <v>0</v>
      </c>
    </row>
    <row r="612" spans="2:6" x14ac:dyDescent="0.2">
      <c r="B612" s="83"/>
      <c r="C612" s="1" t="s">
        <v>139</v>
      </c>
      <c r="D612" s="45"/>
      <c r="E612" s="2">
        <v>85000</v>
      </c>
      <c r="F612" s="9">
        <f t="shared" si="20"/>
        <v>0</v>
      </c>
    </row>
    <row r="613" spans="2:6" x14ac:dyDescent="0.2">
      <c r="B613" s="83"/>
      <c r="C613" s="1" t="s">
        <v>123</v>
      </c>
      <c r="D613" s="45"/>
      <c r="E613" s="2">
        <v>2200</v>
      </c>
      <c r="F613" s="9">
        <f t="shared" si="20"/>
        <v>0</v>
      </c>
    </row>
    <row r="614" spans="2:6" x14ac:dyDescent="0.2">
      <c r="B614" s="83"/>
      <c r="C614" s="1" t="s">
        <v>198</v>
      </c>
      <c r="D614" s="45"/>
      <c r="E614" s="2">
        <v>17000</v>
      </c>
      <c r="F614" s="9">
        <f t="shared" si="20"/>
        <v>0</v>
      </c>
    </row>
    <row r="615" spans="2:6" x14ac:dyDescent="0.2">
      <c r="B615" s="83">
        <v>75</v>
      </c>
      <c r="C615" s="2" t="s">
        <v>74</v>
      </c>
      <c r="D615" s="45"/>
      <c r="E615" s="2">
        <v>3700</v>
      </c>
      <c r="F615" s="9">
        <f t="shared" si="20"/>
        <v>277500</v>
      </c>
    </row>
    <row r="616" spans="2:6" x14ac:dyDescent="0.2">
      <c r="B616" s="83"/>
      <c r="C616" s="2" t="s">
        <v>79</v>
      </c>
      <c r="D616" s="45"/>
      <c r="E616" s="2">
        <v>4500</v>
      </c>
      <c r="F616" s="9">
        <f t="shared" si="20"/>
        <v>0</v>
      </c>
    </row>
    <row r="617" spans="2:6" x14ac:dyDescent="0.2">
      <c r="B617" s="83"/>
      <c r="C617" s="2" t="s">
        <v>145</v>
      </c>
      <c r="D617" s="45"/>
      <c r="E617" s="2">
        <v>3700</v>
      </c>
      <c r="F617" s="9">
        <f t="shared" si="20"/>
        <v>0</v>
      </c>
    </row>
    <row r="618" spans="2:6" x14ac:dyDescent="0.2">
      <c r="B618" s="83"/>
      <c r="C618" s="2" t="s">
        <v>152</v>
      </c>
      <c r="D618" s="45"/>
      <c r="E618" s="2">
        <v>58000</v>
      </c>
      <c r="F618" s="9">
        <f t="shared" si="20"/>
        <v>0</v>
      </c>
    </row>
    <row r="619" spans="2:6" x14ac:dyDescent="0.2">
      <c r="B619" s="83"/>
      <c r="C619" s="2" t="s">
        <v>194</v>
      </c>
      <c r="D619" s="45"/>
      <c r="E619" s="2">
        <v>172000</v>
      </c>
      <c r="F619" s="9">
        <f t="shared" si="20"/>
        <v>0</v>
      </c>
    </row>
    <row r="620" spans="2:6" x14ac:dyDescent="0.2">
      <c r="B620" s="83"/>
      <c r="C620" s="2" t="s">
        <v>174</v>
      </c>
      <c r="D620" s="45"/>
      <c r="E620" s="2"/>
      <c r="F620" s="9">
        <f t="shared" si="20"/>
        <v>0</v>
      </c>
    </row>
    <row r="621" spans="2:6" x14ac:dyDescent="0.2">
      <c r="B621" s="85">
        <v>5</v>
      </c>
      <c r="C621" s="2" t="s">
        <v>175</v>
      </c>
      <c r="D621" s="45"/>
      <c r="E621" s="2">
        <v>23800</v>
      </c>
      <c r="F621" s="9">
        <f t="shared" si="20"/>
        <v>119000</v>
      </c>
    </row>
    <row r="622" spans="2:6" x14ac:dyDescent="0.2">
      <c r="B622" s="83"/>
      <c r="C622" s="2" t="s">
        <v>172</v>
      </c>
      <c r="D622" s="45"/>
      <c r="E622" s="2">
        <v>180000</v>
      </c>
      <c r="F622" s="9">
        <f t="shared" si="20"/>
        <v>0</v>
      </c>
    </row>
    <row r="623" spans="2:6" x14ac:dyDescent="0.2">
      <c r="B623" s="83"/>
      <c r="C623" s="56" t="s">
        <v>142</v>
      </c>
      <c r="D623" s="45"/>
      <c r="E623" s="2">
        <v>180000</v>
      </c>
      <c r="F623" s="9">
        <f t="shared" si="20"/>
        <v>0</v>
      </c>
    </row>
    <row r="624" spans="2:6" x14ac:dyDescent="0.2">
      <c r="B624" s="83"/>
      <c r="C624" s="2" t="s">
        <v>146</v>
      </c>
      <c r="D624" s="45"/>
      <c r="E624" s="2">
        <v>9000</v>
      </c>
      <c r="F624" s="9">
        <f t="shared" si="20"/>
        <v>0</v>
      </c>
    </row>
    <row r="625" spans="2:6" x14ac:dyDescent="0.2">
      <c r="B625" s="83">
        <v>0.5</v>
      </c>
      <c r="C625" s="2" t="s">
        <v>121</v>
      </c>
      <c r="D625" s="45"/>
      <c r="E625" s="2">
        <v>188000</v>
      </c>
      <c r="F625" s="9">
        <f t="shared" si="20"/>
        <v>94000</v>
      </c>
    </row>
    <row r="626" spans="2:6" x14ac:dyDescent="0.2">
      <c r="B626" s="83"/>
      <c r="C626" s="2" t="s">
        <v>122</v>
      </c>
      <c r="D626" s="45"/>
      <c r="E626" s="2">
        <v>186000</v>
      </c>
      <c r="F626" s="9"/>
    </row>
    <row r="627" spans="2:6" x14ac:dyDescent="0.2">
      <c r="B627" s="83"/>
      <c r="C627" s="2" t="s">
        <v>143</v>
      </c>
      <c r="D627" s="45"/>
      <c r="E627" s="2">
        <v>162000</v>
      </c>
      <c r="F627" s="9">
        <f t="shared" si="20"/>
        <v>0</v>
      </c>
    </row>
    <row r="628" spans="2:6" x14ac:dyDescent="0.2">
      <c r="B628" s="83"/>
      <c r="C628" s="2" t="s">
        <v>126</v>
      </c>
      <c r="D628" s="45"/>
      <c r="E628" s="2">
        <v>110000</v>
      </c>
      <c r="F628" s="9">
        <f t="shared" si="20"/>
        <v>0</v>
      </c>
    </row>
    <row r="629" spans="2:6" x14ac:dyDescent="0.2">
      <c r="B629" s="83"/>
      <c r="C629" s="2" t="s">
        <v>153</v>
      </c>
      <c r="D629" s="45"/>
      <c r="E629" s="2">
        <v>225000</v>
      </c>
      <c r="F629" s="9">
        <f t="shared" si="20"/>
        <v>0</v>
      </c>
    </row>
    <row r="630" spans="2:6" x14ac:dyDescent="0.2">
      <c r="B630" s="83"/>
      <c r="C630" s="2" t="s">
        <v>141</v>
      </c>
      <c r="D630" s="45"/>
      <c r="E630" s="2"/>
      <c r="F630" s="9">
        <f t="shared" si="20"/>
        <v>0</v>
      </c>
    </row>
    <row r="631" spans="2:6" x14ac:dyDescent="0.2">
      <c r="B631" s="83"/>
      <c r="C631" s="2" t="s">
        <v>144</v>
      </c>
      <c r="D631" s="45"/>
      <c r="E631" s="2"/>
      <c r="F631" s="9">
        <f t="shared" si="20"/>
        <v>0</v>
      </c>
    </row>
    <row r="632" spans="2:6" x14ac:dyDescent="0.2">
      <c r="B632" s="84">
        <v>10</v>
      </c>
      <c r="C632" s="2" t="s">
        <v>147</v>
      </c>
      <c r="D632" s="45"/>
      <c r="E632" s="2">
        <v>7000</v>
      </c>
      <c r="F632" s="9">
        <f t="shared" si="20"/>
        <v>70000</v>
      </c>
    </row>
    <row r="633" spans="2:6" x14ac:dyDescent="0.2">
      <c r="B633" s="83"/>
      <c r="C633" s="2" t="s">
        <v>173</v>
      </c>
      <c r="D633" s="45"/>
      <c r="E633" s="2">
        <v>207000</v>
      </c>
      <c r="F633" s="9">
        <f t="shared" si="20"/>
        <v>0</v>
      </c>
    </row>
    <row r="634" spans="2:6" x14ac:dyDescent="0.2">
      <c r="B634" s="83"/>
      <c r="C634" s="2" t="s">
        <v>159</v>
      </c>
      <c r="D634" s="45"/>
      <c r="E634" s="2"/>
      <c r="F634" s="9">
        <f t="shared" si="20"/>
        <v>0</v>
      </c>
    </row>
    <row r="635" spans="2:6" x14ac:dyDescent="0.2">
      <c r="B635" s="83"/>
      <c r="C635" s="2" t="s">
        <v>148</v>
      </c>
      <c r="D635" s="45"/>
      <c r="E635" s="2">
        <v>220000</v>
      </c>
      <c r="F635" s="9">
        <f t="shared" si="20"/>
        <v>0</v>
      </c>
    </row>
    <row r="636" spans="2:6" x14ac:dyDescent="0.2">
      <c r="B636" s="83"/>
      <c r="C636" s="2"/>
      <c r="D636" s="45"/>
      <c r="E636" s="2"/>
      <c r="F636" s="9">
        <f t="shared" si="20"/>
        <v>0</v>
      </c>
    </row>
    <row r="637" spans="2:6" x14ac:dyDescent="0.2">
      <c r="B637" s="83"/>
      <c r="C637" s="2" t="s">
        <v>179</v>
      </c>
      <c r="D637" s="45"/>
      <c r="E637" s="2">
        <v>22500</v>
      </c>
      <c r="F637" s="9">
        <f t="shared" si="20"/>
        <v>0</v>
      </c>
    </row>
    <row r="638" spans="2:6" x14ac:dyDescent="0.2">
      <c r="B638" s="83"/>
      <c r="C638" s="2"/>
      <c r="D638" s="45"/>
      <c r="E638" s="2"/>
      <c r="F638" s="9">
        <f t="shared" si="20"/>
        <v>0</v>
      </c>
    </row>
    <row r="639" spans="2:6" x14ac:dyDescent="0.2">
      <c r="B639" s="83"/>
      <c r="C639" s="2"/>
      <c r="D639" s="45"/>
      <c r="E639" s="2"/>
      <c r="F639" s="9">
        <f t="shared" si="20"/>
        <v>0</v>
      </c>
    </row>
    <row r="640" spans="2:6" x14ac:dyDescent="0.2">
      <c r="B640" s="83"/>
      <c r="C640" s="56"/>
      <c r="D640" s="45"/>
      <c r="E640" s="2"/>
      <c r="F640" s="9">
        <f t="shared" si="20"/>
        <v>0</v>
      </c>
    </row>
    <row r="641" spans="1:6" x14ac:dyDescent="0.2">
      <c r="B641" s="8"/>
      <c r="C641" s="159"/>
      <c r="D641" s="160"/>
      <c r="E641" s="161"/>
      <c r="F641" s="70"/>
    </row>
    <row r="642" spans="1:6" ht="15.75" thickBot="1" x14ac:dyDescent="0.25">
      <c r="B642" s="144" t="s">
        <v>11</v>
      </c>
      <c r="C642" s="145"/>
      <c r="D642" s="145"/>
      <c r="E642" s="146"/>
      <c r="F642" s="10">
        <f>SUM(F607:F641)</f>
        <v>866750</v>
      </c>
    </row>
    <row r="643" spans="1:6" x14ac:dyDescent="0.2">
      <c r="B643" s="153" t="s">
        <v>7</v>
      </c>
      <c r="C643" s="154"/>
      <c r="D643" s="154"/>
      <c r="E643" s="155"/>
      <c r="F643" s="17">
        <v>3016000</v>
      </c>
    </row>
    <row r="644" spans="1:6" x14ac:dyDescent="0.2">
      <c r="B644" s="147" t="s">
        <v>8</v>
      </c>
      <c r="C644" s="148"/>
      <c r="D644" s="148"/>
      <c r="E644" s="149"/>
      <c r="F644" s="28">
        <f>F642+F643</f>
        <v>3882750</v>
      </c>
    </row>
    <row r="645" spans="1:6" x14ac:dyDescent="0.2">
      <c r="B645" s="147" t="s">
        <v>9</v>
      </c>
      <c r="C645" s="148"/>
      <c r="D645" s="148"/>
      <c r="E645" s="149"/>
      <c r="F645" s="39">
        <v>850000</v>
      </c>
    </row>
    <row r="646" spans="1:6" ht="15.75" thickBot="1" x14ac:dyDescent="0.25">
      <c r="B646" s="150" t="s">
        <v>10</v>
      </c>
      <c r="C646" s="151"/>
      <c r="D646" s="151"/>
      <c r="E646" s="152"/>
      <c r="F646" s="12">
        <f>F645-F644</f>
        <v>-3032750</v>
      </c>
    </row>
    <row r="647" spans="1:6" ht="15.75" thickBot="1" x14ac:dyDescent="0.25"/>
    <row r="648" spans="1:6" x14ac:dyDescent="0.2">
      <c r="A648" s="27" t="s">
        <v>39</v>
      </c>
      <c r="B648" s="6" t="s">
        <v>2</v>
      </c>
      <c r="C648" s="156">
        <f>C602</f>
        <v>0</v>
      </c>
      <c r="D648" s="157"/>
      <c r="E648" s="157"/>
      <c r="F648" s="158"/>
    </row>
    <row r="649" spans="1:6" x14ac:dyDescent="0.2">
      <c r="B649" s="7" t="s">
        <v>0</v>
      </c>
      <c r="C649" s="142" t="s">
        <v>137</v>
      </c>
      <c r="D649" s="142"/>
      <c r="E649" s="142"/>
      <c r="F649" s="143"/>
    </row>
    <row r="650" spans="1:6" x14ac:dyDescent="0.2">
      <c r="B650" s="7" t="s">
        <v>1</v>
      </c>
      <c r="C650" s="142" t="s">
        <v>101</v>
      </c>
      <c r="D650" s="142"/>
      <c r="E650" s="142"/>
      <c r="F650" s="143"/>
    </row>
    <row r="651" spans="1:6" ht="15.75" thickBot="1" x14ac:dyDescent="0.25">
      <c r="B651" s="7"/>
      <c r="C651" s="162"/>
      <c r="D651" s="162"/>
      <c r="E651" s="162"/>
      <c r="F651" s="163"/>
    </row>
    <row r="652" spans="1:6" x14ac:dyDescent="0.2">
      <c r="B652" s="91" t="s">
        <v>108</v>
      </c>
      <c r="C652" s="92" t="s">
        <v>3</v>
      </c>
      <c r="D652" s="92" t="s">
        <v>4</v>
      </c>
      <c r="E652" s="93"/>
      <c r="F652" s="94" t="s">
        <v>5</v>
      </c>
    </row>
    <row r="653" spans="1:6" x14ac:dyDescent="0.2">
      <c r="B653" s="8"/>
      <c r="C653" s="35" t="s">
        <v>67</v>
      </c>
      <c r="D653" s="60"/>
      <c r="E653" s="2">
        <v>3750</v>
      </c>
      <c r="F653" s="9">
        <f t="shared" ref="F653:F686" si="21">(B653-D653) *E653</f>
        <v>0</v>
      </c>
    </row>
    <row r="654" spans="1:6" x14ac:dyDescent="0.2">
      <c r="B654" s="118"/>
      <c r="C654" s="1" t="s">
        <v>14</v>
      </c>
      <c r="D654" s="80"/>
      <c r="E654" s="56">
        <v>9250</v>
      </c>
      <c r="F654" s="81">
        <f t="shared" si="21"/>
        <v>0</v>
      </c>
    </row>
    <row r="655" spans="1:6" x14ac:dyDescent="0.2">
      <c r="B655" s="83"/>
      <c r="C655" s="1" t="s">
        <v>15</v>
      </c>
      <c r="D655" s="45"/>
      <c r="E655" s="2">
        <v>4750</v>
      </c>
      <c r="F655" s="9">
        <f t="shared" si="21"/>
        <v>0</v>
      </c>
    </row>
    <row r="656" spans="1:6" x14ac:dyDescent="0.2">
      <c r="B656" s="83"/>
      <c r="C656" s="1" t="s">
        <v>62</v>
      </c>
      <c r="D656" s="45"/>
      <c r="E656" s="2">
        <v>17000</v>
      </c>
      <c r="F656" s="9">
        <f t="shared" si="21"/>
        <v>0</v>
      </c>
    </row>
    <row r="657" spans="2:6" x14ac:dyDescent="0.2">
      <c r="B657" s="83"/>
      <c r="C657" s="1" t="s">
        <v>18</v>
      </c>
      <c r="D657" s="45"/>
      <c r="E657" s="2">
        <v>78000</v>
      </c>
      <c r="F657" s="9">
        <f t="shared" si="21"/>
        <v>0</v>
      </c>
    </row>
    <row r="658" spans="2:6" x14ac:dyDescent="0.2">
      <c r="B658" s="83"/>
      <c r="C658" s="1" t="s">
        <v>139</v>
      </c>
      <c r="D658" s="45"/>
      <c r="E658" s="2">
        <v>85000</v>
      </c>
      <c r="F658" s="9">
        <f t="shared" si="21"/>
        <v>0</v>
      </c>
    </row>
    <row r="659" spans="2:6" x14ac:dyDescent="0.2">
      <c r="B659" s="83"/>
      <c r="C659" s="1" t="s">
        <v>123</v>
      </c>
      <c r="D659" s="45"/>
      <c r="E659" s="2">
        <v>2200</v>
      </c>
      <c r="F659" s="9">
        <f t="shared" si="21"/>
        <v>0</v>
      </c>
    </row>
    <row r="660" spans="2:6" x14ac:dyDescent="0.2">
      <c r="B660" s="83"/>
      <c r="C660" s="1" t="s">
        <v>151</v>
      </c>
      <c r="D660" s="45"/>
      <c r="E660" s="2"/>
      <c r="F660" s="9">
        <f t="shared" si="21"/>
        <v>0</v>
      </c>
    </row>
    <row r="661" spans="2:6" x14ac:dyDescent="0.2">
      <c r="B661" s="83">
        <v>55</v>
      </c>
      <c r="C661" s="2" t="s">
        <v>74</v>
      </c>
      <c r="D661" s="45"/>
      <c r="E661" s="2">
        <v>3700</v>
      </c>
      <c r="F661" s="9">
        <f t="shared" si="21"/>
        <v>203500</v>
      </c>
    </row>
    <row r="662" spans="2:6" x14ac:dyDescent="0.2">
      <c r="B662" s="83"/>
      <c r="C662" s="2" t="s">
        <v>79</v>
      </c>
      <c r="D662" s="45"/>
      <c r="E662" s="2">
        <v>4500</v>
      </c>
      <c r="F662" s="9">
        <f t="shared" si="21"/>
        <v>0</v>
      </c>
    </row>
    <row r="663" spans="2:6" x14ac:dyDescent="0.2">
      <c r="B663" s="83"/>
      <c r="C663" s="2" t="s">
        <v>145</v>
      </c>
      <c r="D663" s="45"/>
      <c r="E663" s="2">
        <v>3700</v>
      </c>
      <c r="F663" s="9">
        <f t="shared" si="21"/>
        <v>0</v>
      </c>
    </row>
    <row r="664" spans="2:6" x14ac:dyDescent="0.2">
      <c r="B664" s="83"/>
      <c r="C664" s="2" t="s">
        <v>152</v>
      </c>
      <c r="D664" s="45"/>
      <c r="E664" s="2">
        <v>54000</v>
      </c>
      <c r="F664" s="9">
        <f t="shared" si="21"/>
        <v>0</v>
      </c>
    </row>
    <row r="665" spans="2:6" x14ac:dyDescent="0.2">
      <c r="B665" s="83"/>
      <c r="C665" s="2" t="s">
        <v>166</v>
      </c>
      <c r="D665" s="45"/>
      <c r="E665" s="2"/>
      <c r="F665" s="9">
        <f t="shared" si="21"/>
        <v>0</v>
      </c>
    </row>
    <row r="666" spans="2:6" x14ac:dyDescent="0.2">
      <c r="B666" s="83"/>
      <c r="C666" s="2" t="s">
        <v>174</v>
      </c>
      <c r="D666" s="45"/>
      <c r="E666" s="2"/>
      <c r="F666" s="9">
        <f t="shared" si="21"/>
        <v>0</v>
      </c>
    </row>
    <row r="667" spans="2:6" x14ac:dyDescent="0.2">
      <c r="B667" s="85"/>
      <c r="C667" s="2" t="s">
        <v>175</v>
      </c>
      <c r="D667" s="45"/>
      <c r="E667" s="2"/>
      <c r="F667" s="9">
        <f t="shared" si="21"/>
        <v>0</v>
      </c>
    </row>
    <row r="668" spans="2:6" x14ac:dyDescent="0.2">
      <c r="B668" s="83"/>
      <c r="C668" s="2" t="s">
        <v>172</v>
      </c>
      <c r="D668" s="45"/>
      <c r="E668" s="2"/>
      <c r="F668" s="9">
        <f t="shared" si="21"/>
        <v>0</v>
      </c>
    </row>
    <row r="669" spans="2:6" x14ac:dyDescent="0.2">
      <c r="B669" s="83"/>
      <c r="C669" s="56" t="s">
        <v>142</v>
      </c>
      <c r="D669" s="45"/>
      <c r="E669" s="2">
        <v>175000</v>
      </c>
      <c r="F669" s="9">
        <f t="shared" si="21"/>
        <v>0</v>
      </c>
    </row>
    <row r="670" spans="2:6" x14ac:dyDescent="0.2">
      <c r="B670" s="83"/>
      <c r="C670" s="2" t="s">
        <v>146</v>
      </c>
      <c r="D670" s="45"/>
      <c r="E670" s="2"/>
      <c r="F670" s="9">
        <f t="shared" si="21"/>
        <v>0</v>
      </c>
    </row>
    <row r="671" spans="2:6" x14ac:dyDescent="0.2">
      <c r="B671" s="83"/>
      <c r="C671" s="2" t="s">
        <v>121</v>
      </c>
      <c r="D671" s="45"/>
      <c r="E671" s="2"/>
      <c r="F671" s="9">
        <f t="shared" si="21"/>
        <v>0</v>
      </c>
    </row>
    <row r="672" spans="2:6" x14ac:dyDescent="0.2">
      <c r="B672" s="83"/>
      <c r="C672" s="2" t="s">
        <v>122</v>
      </c>
      <c r="D672" s="45"/>
      <c r="E672" s="2"/>
      <c r="F672" s="9">
        <f t="shared" si="21"/>
        <v>0</v>
      </c>
    </row>
    <row r="673" spans="2:6" x14ac:dyDescent="0.2">
      <c r="B673" s="83"/>
      <c r="C673" s="2" t="s">
        <v>143</v>
      </c>
      <c r="D673" s="45"/>
      <c r="E673" s="2"/>
      <c r="F673" s="9">
        <f t="shared" si="21"/>
        <v>0</v>
      </c>
    </row>
    <row r="674" spans="2:6" x14ac:dyDescent="0.2">
      <c r="B674" s="83"/>
      <c r="C674" s="2" t="s">
        <v>126</v>
      </c>
      <c r="D674" s="45"/>
      <c r="E674" s="2"/>
      <c r="F674" s="9">
        <f t="shared" si="21"/>
        <v>0</v>
      </c>
    </row>
    <row r="675" spans="2:6" x14ac:dyDescent="0.2">
      <c r="B675" s="83"/>
      <c r="C675" s="2" t="s">
        <v>153</v>
      </c>
      <c r="D675" s="45"/>
      <c r="E675" s="2">
        <v>225000</v>
      </c>
      <c r="F675" s="9">
        <f t="shared" si="21"/>
        <v>0</v>
      </c>
    </row>
    <row r="676" spans="2:6" x14ac:dyDescent="0.2">
      <c r="B676" s="83"/>
      <c r="C676" s="2" t="s">
        <v>141</v>
      </c>
      <c r="D676" s="45"/>
      <c r="E676" s="2"/>
      <c r="F676" s="9">
        <f t="shared" si="21"/>
        <v>0</v>
      </c>
    </row>
    <row r="677" spans="2:6" x14ac:dyDescent="0.2">
      <c r="B677" s="83"/>
      <c r="C677" s="2" t="s">
        <v>144</v>
      </c>
      <c r="D677" s="45"/>
      <c r="E677" s="2"/>
      <c r="F677" s="9">
        <f t="shared" si="21"/>
        <v>0</v>
      </c>
    </row>
    <row r="678" spans="2:6" x14ac:dyDescent="0.2">
      <c r="B678" s="84"/>
      <c r="C678" s="2" t="s">
        <v>147</v>
      </c>
      <c r="D678" s="45"/>
      <c r="E678" s="2">
        <v>7000</v>
      </c>
      <c r="F678" s="9">
        <f t="shared" si="21"/>
        <v>0</v>
      </c>
    </row>
    <row r="679" spans="2:6" x14ac:dyDescent="0.2">
      <c r="B679" s="83"/>
      <c r="C679" s="2" t="s">
        <v>173</v>
      </c>
      <c r="D679" s="45"/>
      <c r="E679" s="2"/>
      <c r="F679" s="9">
        <f t="shared" si="21"/>
        <v>0</v>
      </c>
    </row>
    <row r="680" spans="2:6" x14ac:dyDescent="0.2">
      <c r="B680" s="83"/>
      <c r="C680" s="2" t="s">
        <v>159</v>
      </c>
      <c r="D680" s="45"/>
      <c r="E680" s="2"/>
      <c r="F680" s="9">
        <f t="shared" si="21"/>
        <v>0</v>
      </c>
    </row>
    <row r="681" spans="2:6" x14ac:dyDescent="0.2">
      <c r="B681" s="83"/>
      <c r="C681" s="2" t="s">
        <v>148</v>
      </c>
      <c r="D681" s="45"/>
      <c r="E681" s="2"/>
      <c r="F681" s="9">
        <f t="shared" si="21"/>
        <v>0</v>
      </c>
    </row>
    <row r="682" spans="2:6" x14ac:dyDescent="0.2">
      <c r="B682" s="83"/>
      <c r="C682" s="2"/>
      <c r="D682" s="45"/>
      <c r="E682" s="2"/>
      <c r="F682" s="9">
        <f t="shared" si="21"/>
        <v>0</v>
      </c>
    </row>
    <row r="683" spans="2:6" x14ac:dyDescent="0.2">
      <c r="B683" s="83"/>
      <c r="C683" s="2"/>
      <c r="D683" s="45"/>
      <c r="E683" s="2"/>
      <c r="F683" s="9">
        <f t="shared" si="21"/>
        <v>0</v>
      </c>
    </row>
    <row r="684" spans="2:6" x14ac:dyDescent="0.2">
      <c r="B684" s="83"/>
      <c r="C684" s="2"/>
      <c r="D684" s="45"/>
      <c r="E684" s="2"/>
      <c r="F684" s="9">
        <f t="shared" si="21"/>
        <v>0</v>
      </c>
    </row>
    <row r="685" spans="2:6" x14ac:dyDescent="0.2">
      <c r="B685" s="83"/>
      <c r="C685" s="2"/>
      <c r="D685" s="45"/>
      <c r="E685" s="2"/>
      <c r="F685" s="9">
        <f t="shared" si="21"/>
        <v>0</v>
      </c>
    </row>
    <row r="686" spans="2:6" x14ac:dyDescent="0.2">
      <c r="B686" s="83"/>
      <c r="C686" s="56"/>
      <c r="D686" s="45"/>
      <c r="E686" s="2"/>
      <c r="F686" s="9">
        <f t="shared" si="21"/>
        <v>0</v>
      </c>
    </row>
    <row r="687" spans="2:6" x14ac:dyDescent="0.2">
      <c r="B687" s="8"/>
      <c r="C687" s="159"/>
      <c r="D687" s="160"/>
      <c r="E687" s="161"/>
      <c r="F687" s="70"/>
    </row>
    <row r="688" spans="2:6" ht="15.75" thickBot="1" x14ac:dyDescent="0.25">
      <c r="B688" s="144" t="s">
        <v>11</v>
      </c>
      <c r="C688" s="145"/>
      <c r="D688" s="145"/>
      <c r="E688" s="146"/>
      <c r="F688" s="10">
        <f>SUM(F653:F687)</f>
        <v>203500</v>
      </c>
    </row>
    <row r="689" spans="1:6" x14ac:dyDescent="0.2">
      <c r="B689" s="153" t="s">
        <v>7</v>
      </c>
      <c r="C689" s="154"/>
      <c r="D689" s="154"/>
      <c r="E689" s="155"/>
      <c r="F689" s="17">
        <v>225000</v>
      </c>
    </row>
    <row r="690" spans="1:6" x14ac:dyDescent="0.2">
      <c r="B690" s="147" t="s">
        <v>8</v>
      </c>
      <c r="C690" s="148"/>
      <c r="D690" s="148"/>
      <c r="E690" s="149"/>
      <c r="F690" s="28">
        <f>F688+F689</f>
        <v>428500</v>
      </c>
    </row>
    <row r="691" spans="1:6" x14ac:dyDescent="0.2">
      <c r="B691" s="147" t="s">
        <v>9</v>
      </c>
      <c r="C691" s="148"/>
      <c r="D691" s="148"/>
      <c r="E691" s="149"/>
      <c r="F691" s="39">
        <v>237000</v>
      </c>
    </row>
    <row r="692" spans="1:6" ht="15.75" thickBot="1" x14ac:dyDescent="0.25">
      <c r="B692" s="150" t="s">
        <v>10</v>
      </c>
      <c r="C692" s="151"/>
      <c r="D692" s="151"/>
      <c r="E692" s="152"/>
      <c r="F692" s="12">
        <f>F691-F690</f>
        <v>-191500</v>
      </c>
    </row>
    <row r="693" spans="1:6" ht="15.75" thickBot="1" x14ac:dyDescent="0.25"/>
    <row r="694" spans="1:6" x14ac:dyDescent="0.2">
      <c r="A694" s="27" t="s">
        <v>40</v>
      </c>
      <c r="B694" s="6" t="s">
        <v>2</v>
      </c>
      <c r="C694" s="156">
        <f>C648</f>
        <v>0</v>
      </c>
      <c r="D694" s="157"/>
      <c r="E694" s="157"/>
      <c r="F694" s="158"/>
    </row>
    <row r="695" spans="1:6" x14ac:dyDescent="0.2">
      <c r="B695" s="7" t="s">
        <v>0</v>
      </c>
      <c r="C695" s="142" t="s">
        <v>102</v>
      </c>
      <c r="D695" s="142"/>
      <c r="E695" s="142"/>
      <c r="F695" s="143"/>
    </row>
    <row r="696" spans="1:6" x14ac:dyDescent="0.2">
      <c r="B696" s="7" t="s">
        <v>1</v>
      </c>
      <c r="C696" s="142" t="s">
        <v>52</v>
      </c>
      <c r="D696" s="142"/>
      <c r="E696" s="142"/>
      <c r="F696" s="143"/>
    </row>
    <row r="697" spans="1:6" ht="15.75" thickBot="1" x14ac:dyDescent="0.25">
      <c r="B697" s="7"/>
      <c r="C697" s="162"/>
      <c r="D697" s="162"/>
      <c r="E697" s="162"/>
      <c r="F697" s="163"/>
    </row>
    <row r="698" spans="1:6" x14ac:dyDescent="0.2">
      <c r="B698" s="91" t="s">
        <v>108</v>
      </c>
      <c r="C698" s="92" t="s">
        <v>3</v>
      </c>
      <c r="D698" s="92" t="s">
        <v>4</v>
      </c>
      <c r="E698" s="93"/>
      <c r="F698" s="94" t="s">
        <v>5</v>
      </c>
    </row>
    <row r="699" spans="1:6" x14ac:dyDescent="0.2">
      <c r="B699" s="8"/>
      <c r="C699" s="35" t="s">
        <v>67</v>
      </c>
      <c r="D699" s="60"/>
      <c r="E699" s="2">
        <v>3750</v>
      </c>
      <c r="F699" s="9">
        <f t="shared" ref="F699:F732" si="22">(B699-D699) *E699</f>
        <v>0</v>
      </c>
    </row>
    <row r="700" spans="1:6" x14ac:dyDescent="0.2">
      <c r="B700" s="84">
        <v>25</v>
      </c>
      <c r="C700" s="1" t="s">
        <v>14</v>
      </c>
      <c r="D700" s="80"/>
      <c r="E700" s="56">
        <v>9250</v>
      </c>
      <c r="F700" s="81">
        <f t="shared" si="22"/>
        <v>231250</v>
      </c>
    </row>
    <row r="701" spans="1:6" x14ac:dyDescent="0.2">
      <c r="B701" s="83"/>
      <c r="C701" s="1" t="s">
        <v>15</v>
      </c>
      <c r="D701" s="45"/>
      <c r="E701" s="2">
        <v>4750</v>
      </c>
      <c r="F701" s="9">
        <f t="shared" si="22"/>
        <v>0</v>
      </c>
    </row>
    <row r="702" spans="1:6" x14ac:dyDescent="0.2">
      <c r="B702" s="83">
        <v>10</v>
      </c>
      <c r="C702" s="1" t="s">
        <v>62</v>
      </c>
      <c r="D702" s="45"/>
      <c r="E702" s="2">
        <v>17000</v>
      </c>
      <c r="F702" s="9">
        <f t="shared" si="22"/>
        <v>170000</v>
      </c>
    </row>
    <row r="703" spans="1:6" x14ac:dyDescent="0.2">
      <c r="B703" s="83"/>
      <c r="C703" s="1" t="s">
        <v>18</v>
      </c>
      <c r="D703" s="45"/>
      <c r="E703" s="2"/>
      <c r="F703" s="9">
        <f t="shared" si="22"/>
        <v>0</v>
      </c>
    </row>
    <row r="704" spans="1:6" x14ac:dyDescent="0.2">
      <c r="B704" s="83"/>
      <c r="C704" s="1" t="s">
        <v>139</v>
      </c>
      <c r="D704" s="45"/>
      <c r="E704" s="2"/>
      <c r="F704" s="9">
        <f t="shared" si="22"/>
        <v>0</v>
      </c>
    </row>
    <row r="705" spans="2:6" x14ac:dyDescent="0.2">
      <c r="B705" s="83"/>
      <c r="C705" s="1" t="s">
        <v>123</v>
      </c>
      <c r="D705" s="45"/>
      <c r="E705" s="2"/>
      <c r="F705" s="9">
        <f t="shared" si="22"/>
        <v>0</v>
      </c>
    </row>
    <row r="706" spans="2:6" x14ac:dyDescent="0.2">
      <c r="B706" s="83"/>
      <c r="C706" s="1" t="s">
        <v>151</v>
      </c>
      <c r="D706" s="45"/>
      <c r="E706" s="2"/>
      <c r="F706" s="9">
        <f t="shared" si="22"/>
        <v>0</v>
      </c>
    </row>
    <row r="707" spans="2:6" x14ac:dyDescent="0.2">
      <c r="B707" s="83"/>
      <c r="C707" s="2" t="s">
        <v>74</v>
      </c>
      <c r="D707" s="45"/>
      <c r="E707" s="2">
        <v>3700</v>
      </c>
      <c r="F707" s="9">
        <f t="shared" si="22"/>
        <v>0</v>
      </c>
    </row>
    <row r="708" spans="2:6" x14ac:dyDescent="0.2">
      <c r="B708" s="83">
        <v>15</v>
      </c>
      <c r="C708" s="2" t="s">
        <v>170</v>
      </c>
      <c r="D708" s="45"/>
      <c r="E708" s="2">
        <v>4500</v>
      </c>
      <c r="F708" s="9">
        <f t="shared" si="22"/>
        <v>67500</v>
      </c>
    </row>
    <row r="709" spans="2:6" x14ac:dyDescent="0.2">
      <c r="B709" s="83"/>
      <c r="C709" s="2" t="s">
        <v>145</v>
      </c>
      <c r="D709" s="45"/>
      <c r="E709" s="2">
        <v>3700</v>
      </c>
      <c r="F709" s="9">
        <f t="shared" si="22"/>
        <v>0</v>
      </c>
    </row>
    <row r="710" spans="2:6" x14ac:dyDescent="0.2">
      <c r="B710" s="83"/>
      <c r="C710" s="2" t="s">
        <v>152</v>
      </c>
      <c r="D710" s="45"/>
      <c r="E710" s="2">
        <v>54000</v>
      </c>
      <c r="F710" s="9">
        <f t="shared" si="22"/>
        <v>0</v>
      </c>
    </row>
    <row r="711" spans="2:6" x14ac:dyDescent="0.2">
      <c r="B711" s="83"/>
      <c r="C711" s="2" t="s">
        <v>166</v>
      </c>
      <c r="D711" s="45"/>
      <c r="E711" s="2"/>
      <c r="F711" s="9">
        <f t="shared" si="22"/>
        <v>0</v>
      </c>
    </row>
    <row r="712" spans="2:6" x14ac:dyDescent="0.2">
      <c r="B712" s="83"/>
      <c r="C712" s="2" t="s">
        <v>174</v>
      </c>
      <c r="D712" s="45"/>
      <c r="E712" s="2"/>
      <c r="F712" s="9">
        <f t="shared" si="22"/>
        <v>0</v>
      </c>
    </row>
    <row r="713" spans="2:6" x14ac:dyDescent="0.2">
      <c r="B713" s="85"/>
      <c r="C713" s="2" t="s">
        <v>175</v>
      </c>
      <c r="D713" s="45"/>
      <c r="E713" s="2"/>
      <c r="F713" s="9">
        <f t="shared" si="22"/>
        <v>0</v>
      </c>
    </row>
    <row r="714" spans="2:6" x14ac:dyDescent="0.2">
      <c r="B714" s="83"/>
      <c r="C714" s="2" t="s">
        <v>172</v>
      </c>
      <c r="D714" s="45"/>
      <c r="E714" s="2"/>
      <c r="F714" s="9">
        <f t="shared" si="22"/>
        <v>0</v>
      </c>
    </row>
    <row r="715" spans="2:6" x14ac:dyDescent="0.2">
      <c r="B715" s="83"/>
      <c r="C715" s="56" t="s">
        <v>142</v>
      </c>
      <c r="D715" s="45"/>
      <c r="E715" s="2">
        <v>175000</v>
      </c>
      <c r="F715" s="9">
        <f t="shared" si="22"/>
        <v>0</v>
      </c>
    </row>
    <row r="716" spans="2:6" x14ac:dyDescent="0.2">
      <c r="B716" s="83"/>
      <c r="C716" s="2" t="s">
        <v>146</v>
      </c>
      <c r="D716" s="45"/>
      <c r="E716" s="2">
        <v>9000</v>
      </c>
      <c r="F716" s="9">
        <f t="shared" si="22"/>
        <v>0</v>
      </c>
    </row>
    <row r="717" spans="2:6" x14ac:dyDescent="0.2">
      <c r="B717" s="83"/>
      <c r="C717" s="2" t="s">
        <v>121</v>
      </c>
      <c r="D717" s="45"/>
      <c r="E717" s="2"/>
      <c r="F717" s="9">
        <f t="shared" si="22"/>
        <v>0</v>
      </c>
    </row>
    <row r="718" spans="2:6" x14ac:dyDescent="0.2">
      <c r="B718" s="83"/>
      <c r="C718" s="2" t="s">
        <v>122</v>
      </c>
      <c r="D718" s="45"/>
      <c r="E718" s="2"/>
      <c r="F718" s="9">
        <f t="shared" si="22"/>
        <v>0</v>
      </c>
    </row>
    <row r="719" spans="2:6" x14ac:dyDescent="0.2">
      <c r="B719" s="83"/>
      <c r="C719" s="2" t="s">
        <v>143</v>
      </c>
      <c r="D719" s="45"/>
      <c r="E719" s="2"/>
      <c r="F719" s="9">
        <f t="shared" si="22"/>
        <v>0</v>
      </c>
    </row>
    <row r="720" spans="2:6" x14ac:dyDescent="0.2">
      <c r="B720" s="83"/>
      <c r="C720" s="2" t="s">
        <v>126</v>
      </c>
      <c r="D720" s="45"/>
      <c r="E720" s="2"/>
      <c r="F720" s="9">
        <f t="shared" si="22"/>
        <v>0</v>
      </c>
    </row>
    <row r="721" spans="2:6" x14ac:dyDescent="0.2">
      <c r="B721" s="83"/>
      <c r="C721" s="2" t="s">
        <v>153</v>
      </c>
      <c r="D721" s="45"/>
      <c r="E721" s="2"/>
      <c r="F721" s="9">
        <f t="shared" si="22"/>
        <v>0</v>
      </c>
    </row>
    <row r="722" spans="2:6" x14ac:dyDescent="0.2">
      <c r="B722" s="83"/>
      <c r="C722" s="2" t="s">
        <v>141</v>
      </c>
      <c r="D722" s="45"/>
      <c r="E722" s="2"/>
      <c r="F722" s="9">
        <f t="shared" si="22"/>
        <v>0</v>
      </c>
    </row>
    <row r="723" spans="2:6" x14ac:dyDescent="0.2">
      <c r="B723" s="83"/>
      <c r="C723" s="2" t="s">
        <v>144</v>
      </c>
      <c r="D723" s="45"/>
      <c r="E723" s="2"/>
      <c r="F723" s="9">
        <f t="shared" si="22"/>
        <v>0</v>
      </c>
    </row>
    <row r="724" spans="2:6" x14ac:dyDescent="0.2">
      <c r="B724" s="84"/>
      <c r="C724" s="2" t="s">
        <v>147</v>
      </c>
      <c r="D724" s="45"/>
      <c r="E724" s="2"/>
      <c r="F724" s="9">
        <f t="shared" si="22"/>
        <v>0</v>
      </c>
    </row>
    <row r="725" spans="2:6" x14ac:dyDescent="0.2">
      <c r="B725" s="83"/>
      <c r="C725" s="2" t="s">
        <v>173</v>
      </c>
      <c r="D725" s="45"/>
      <c r="E725" s="2"/>
      <c r="F725" s="9">
        <f t="shared" si="22"/>
        <v>0</v>
      </c>
    </row>
    <row r="726" spans="2:6" x14ac:dyDescent="0.2">
      <c r="B726" s="83"/>
      <c r="C726" s="2" t="s">
        <v>159</v>
      </c>
      <c r="D726" s="45"/>
      <c r="E726" s="2"/>
      <c r="F726" s="9">
        <f t="shared" si="22"/>
        <v>0</v>
      </c>
    </row>
    <row r="727" spans="2:6" x14ac:dyDescent="0.2">
      <c r="B727" s="83"/>
      <c r="C727" s="2" t="s">
        <v>148</v>
      </c>
      <c r="D727" s="45"/>
      <c r="E727" s="2"/>
      <c r="F727" s="9">
        <f t="shared" si="22"/>
        <v>0</v>
      </c>
    </row>
    <row r="728" spans="2:6" x14ac:dyDescent="0.2">
      <c r="B728" s="83"/>
      <c r="C728" s="2"/>
      <c r="D728" s="45"/>
      <c r="E728" s="2"/>
      <c r="F728" s="9">
        <f t="shared" si="22"/>
        <v>0</v>
      </c>
    </row>
    <row r="729" spans="2:6" x14ac:dyDescent="0.2">
      <c r="B729" s="83"/>
      <c r="C729" s="2"/>
      <c r="D729" s="45"/>
      <c r="E729" s="2"/>
      <c r="F729" s="9">
        <f t="shared" si="22"/>
        <v>0</v>
      </c>
    </row>
    <row r="730" spans="2:6" x14ac:dyDescent="0.2">
      <c r="B730" s="83"/>
      <c r="C730" s="2"/>
      <c r="D730" s="45"/>
      <c r="E730" s="2"/>
      <c r="F730" s="9">
        <f t="shared" si="22"/>
        <v>0</v>
      </c>
    </row>
    <row r="731" spans="2:6" x14ac:dyDescent="0.2">
      <c r="B731" s="83"/>
      <c r="C731" s="2"/>
      <c r="D731" s="45"/>
      <c r="E731" s="2"/>
      <c r="F731" s="9">
        <f t="shared" si="22"/>
        <v>0</v>
      </c>
    </row>
    <row r="732" spans="2:6" x14ac:dyDescent="0.2">
      <c r="B732" s="83"/>
      <c r="C732" s="56"/>
      <c r="D732" s="45"/>
      <c r="E732" s="2"/>
      <c r="F732" s="9">
        <f t="shared" si="22"/>
        <v>0</v>
      </c>
    </row>
    <row r="733" spans="2:6" x14ac:dyDescent="0.2">
      <c r="B733" s="8"/>
      <c r="C733" s="159"/>
      <c r="D733" s="160"/>
      <c r="E733" s="161"/>
      <c r="F733" s="70"/>
    </row>
    <row r="734" spans="2:6" ht="15.75" thickBot="1" x14ac:dyDescent="0.25">
      <c r="B734" s="144" t="s">
        <v>11</v>
      </c>
      <c r="C734" s="145"/>
      <c r="D734" s="145"/>
      <c r="E734" s="146"/>
      <c r="F734" s="10">
        <f>SUM(F699:F733)</f>
        <v>468750</v>
      </c>
    </row>
    <row r="735" spans="2:6" x14ac:dyDescent="0.2">
      <c r="B735" s="153" t="s">
        <v>7</v>
      </c>
      <c r="C735" s="154"/>
      <c r="D735" s="154"/>
      <c r="E735" s="155"/>
      <c r="F735" s="17"/>
    </row>
    <row r="736" spans="2:6" x14ac:dyDescent="0.2">
      <c r="B736" s="147" t="s">
        <v>8</v>
      </c>
      <c r="C736" s="148"/>
      <c r="D736" s="148"/>
      <c r="E736" s="149"/>
      <c r="F736" s="28">
        <f>F734+F735</f>
        <v>468750</v>
      </c>
    </row>
    <row r="737" spans="1:6" x14ac:dyDescent="0.2">
      <c r="B737" s="147" t="s">
        <v>9</v>
      </c>
      <c r="C737" s="148"/>
      <c r="D737" s="148"/>
      <c r="E737" s="149"/>
      <c r="F737" s="39"/>
    </row>
    <row r="738" spans="1:6" ht="15.75" thickBot="1" x14ac:dyDescent="0.25">
      <c r="B738" s="150" t="s">
        <v>10</v>
      </c>
      <c r="C738" s="151"/>
      <c r="D738" s="151"/>
      <c r="E738" s="152"/>
      <c r="F738" s="12">
        <f>F737-F736</f>
        <v>-468750</v>
      </c>
    </row>
    <row r="739" spans="1:6" ht="15.75" thickBot="1" x14ac:dyDescent="0.25"/>
    <row r="740" spans="1:6" x14ac:dyDescent="0.2">
      <c r="A740" s="27" t="s">
        <v>41</v>
      </c>
      <c r="B740" s="6" t="s">
        <v>2</v>
      </c>
      <c r="C740" s="156">
        <f>C694</f>
        <v>0</v>
      </c>
      <c r="D740" s="157"/>
      <c r="E740" s="157"/>
      <c r="F740" s="158"/>
    </row>
    <row r="741" spans="1:6" x14ac:dyDescent="0.2">
      <c r="B741" s="7" t="s">
        <v>0</v>
      </c>
      <c r="C741" s="142" t="s">
        <v>157</v>
      </c>
      <c r="D741" s="142"/>
      <c r="E741" s="142"/>
      <c r="F741" s="143"/>
    </row>
    <row r="742" spans="1:6" x14ac:dyDescent="0.2">
      <c r="B742" s="7" t="s">
        <v>1</v>
      </c>
      <c r="C742" s="142" t="s">
        <v>52</v>
      </c>
      <c r="D742" s="142"/>
      <c r="E742" s="142"/>
      <c r="F742" s="143"/>
    </row>
    <row r="743" spans="1:6" ht="15.75" thickBot="1" x14ac:dyDescent="0.25">
      <c r="B743" s="7"/>
      <c r="C743" s="162"/>
      <c r="D743" s="162"/>
      <c r="E743" s="162"/>
      <c r="F743" s="163"/>
    </row>
    <row r="744" spans="1:6" x14ac:dyDescent="0.2">
      <c r="B744" s="91" t="s">
        <v>108</v>
      </c>
      <c r="C744" s="92" t="s">
        <v>3</v>
      </c>
      <c r="D744" s="92" t="s">
        <v>4</v>
      </c>
      <c r="E744" s="93"/>
      <c r="F744" s="94" t="s">
        <v>5</v>
      </c>
    </row>
    <row r="745" spans="1:6" x14ac:dyDescent="0.2">
      <c r="B745" s="8"/>
      <c r="C745" s="35" t="s">
        <v>67</v>
      </c>
      <c r="D745" s="60"/>
      <c r="E745" s="2">
        <v>3750</v>
      </c>
      <c r="F745" s="9">
        <f t="shared" ref="F745:F778" si="23">(B745-D745) *E745</f>
        <v>0</v>
      </c>
    </row>
    <row r="746" spans="1:6" x14ac:dyDescent="0.2">
      <c r="B746" s="84"/>
      <c r="C746" s="1" t="s">
        <v>14</v>
      </c>
      <c r="D746" s="80"/>
      <c r="E746" s="56">
        <v>9250</v>
      </c>
      <c r="F746" s="81">
        <f t="shared" si="23"/>
        <v>0</v>
      </c>
    </row>
    <row r="747" spans="1:6" x14ac:dyDescent="0.2">
      <c r="B747" s="83"/>
      <c r="C747" s="1" t="s">
        <v>15</v>
      </c>
      <c r="D747" s="45"/>
      <c r="E747" s="2">
        <v>4750</v>
      </c>
      <c r="F747" s="9">
        <f t="shared" si="23"/>
        <v>0</v>
      </c>
    </row>
    <row r="748" spans="1:6" x14ac:dyDescent="0.2">
      <c r="B748" s="83"/>
      <c r="C748" s="1" t="s">
        <v>62</v>
      </c>
      <c r="D748" s="45"/>
      <c r="E748" s="2">
        <v>17000</v>
      </c>
      <c r="F748" s="9">
        <f t="shared" si="23"/>
        <v>0</v>
      </c>
    </row>
    <row r="749" spans="1:6" x14ac:dyDescent="0.2">
      <c r="B749" s="83"/>
      <c r="C749" s="1" t="s">
        <v>18</v>
      </c>
      <c r="D749" s="45"/>
      <c r="E749" s="2"/>
      <c r="F749" s="9">
        <f t="shared" si="23"/>
        <v>0</v>
      </c>
    </row>
    <row r="750" spans="1:6" x14ac:dyDescent="0.2">
      <c r="B750" s="83"/>
      <c r="C750" s="1" t="s">
        <v>139</v>
      </c>
      <c r="D750" s="45"/>
      <c r="E750" s="2"/>
      <c r="F750" s="9">
        <f t="shared" si="23"/>
        <v>0</v>
      </c>
    </row>
    <row r="751" spans="1:6" x14ac:dyDescent="0.2">
      <c r="B751" s="83"/>
      <c r="C751" s="1" t="s">
        <v>123</v>
      </c>
      <c r="D751" s="45"/>
      <c r="E751" s="2"/>
      <c r="F751" s="9">
        <f t="shared" si="23"/>
        <v>0</v>
      </c>
    </row>
    <row r="752" spans="1:6" x14ac:dyDescent="0.2">
      <c r="B752" s="83"/>
      <c r="C752" s="1" t="s">
        <v>151</v>
      </c>
      <c r="D752" s="45"/>
      <c r="E752" s="2"/>
      <c r="F752" s="9">
        <f t="shared" si="23"/>
        <v>0</v>
      </c>
    </row>
    <row r="753" spans="2:6" x14ac:dyDescent="0.2">
      <c r="B753" s="83"/>
      <c r="C753" s="2" t="s">
        <v>74</v>
      </c>
      <c r="D753" s="45"/>
      <c r="E753" s="2"/>
      <c r="F753" s="9">
        <f t="shared" si="23"/>
        <v>0</v>
      </c>
    </row>
    <row r="754" spans="2:6" x14ac:dyDescent="0.2">
      <c r="B754" s="83"/>
      <c r="C754" s="2" t="s">
        <v>79</v>
      </c>
      <c r="D754" s="45"/>
      <c r="E754" s="2"/>
      <c r="F754" s="9">
        <f t="shared" si="23"/>
        <v>0</v>
      </c>
    </row>
    <row r="755" spans="2:6" x14ac:dyDescent="0.2">
      <c r="B755" s="83"/>
      <c r="C755" s="2" t="s">
        <v>145</v>
      </c>
      <c r="D755" s="45"/>
      <c r="E755" s="2"/>
      <c r="F755" s="9">
        <f t="shared" si="23"/>
        <v>0</v>
      </c>
    </row>
    <row r="756" spans="2:6" x14ac:dyDescent="0.2">
      <c r="B756" s="83"/>
      <c r="C756" s="2" t="s">
        <v>152</v>
      </c>
      <c r="D756" s="45"/>
      <c r="E756" s="2"/>
      <c r="F756" s="9">
        <f t="shared" si="23"/>
        <v>0</v>
      </c>
    </row>
    <row r="757" spans="2:6" x14ac:dyDescent="0.2">
      <c r="B757" s="83"/>
      <c r="C757" s="2" t="s">
        <v>166</v>
      </c>
      <c r="D757" s="45"/>
      <c r="E757" s="2"/>
      <c r="F757" s="9">
        <f t="shared" si="23"/>
        <v>0</v>
      </c>
    </row>
    <row r="758" spans="2:6" x14ac:dyDescent="0.2">
      <c r="B758" s="83"/>
      <c r="C758" s="2" t="s">
        <v>174</v>
      </c>
      <c r="D758" s="45"/>
      <c r="E758" s="2"/>
      <c r="F758" s="9">
        <f t="shared" si="23"/>
        <v>0</v>
      </c>
    </row>
    <row r="759" spans="2:6" x14ac:dyDescent="0.2">
      <c r="B759" s="85"/>
      <c r="C759" s="2" t="s">
        <v>175</v>
      </c>
      <c r="D759" s="45"/>
      <c r="E759" s="2"/>
      <c r="F759" s="9">
        <f t="shared" si="23"/>
        <v>0</v>
      </c>
    </row>
    <row r="760" spans="2:6" x14ac:dyDescent="0.2">
      <c r="B760" s="83"/>
      <c r="C760" s="2" t="s">
        <v>172</v>
      </c>
      <c r="D760" s="45"/>
      <c r="E760" s="2"/>
      <c r="F760" s="9">
        <f t="shared" si="23"/>
        <v>0</v>
      </c>
    </row>
    <row r="761" spans="2:6" x14ac:dyDescent="0.2">
      <c r="B761" s="83"/>
      <c r="C761" s="56" t="s">
        <v>142</v>
      </c>
      <c r="D761" s="45"/>
      <c r="E761" s="2"/>
      <c r="F761" s="9">
        <f t="shared" si="23"/>
        <v>0</v>
      </c>
    </row>
    <row r="762" spans="2:6" x14ac:dyDescent="0.2">
      <c r="B762" s="83"/>
      <c r="C762" s="2" t="s">
        <v>146</v>
      </c>
      <c r="D762" s="45"/>
      <c r="E762" s="2"/>
      <c r="F762" s="9">
        <f t="shared" si="23"/>
        <v>0</v>
      </c>
    </row>
    <row r="763" spans="2:6" x14ac:dyDescent="0.2">
      <c r="B763" s="83"/>
      <c r="C763" s="2" t="s">
        <v>121</v>
      </c>
      <c r="D763" s="45"/>
      <c r="E763" s="2"/>
      <c r="F763" s="9">
        <f t="shared" si="23"/>
        <v>0</v>
      </c>
    </row>
    <row r="764" spans="2:6" x14ac:dyDescent="0.2">
      <c r="B764" s="83"/>
      <c r="C764" s="2" t="s">
        <v>122</v>
      </c>
      <c r="D764" s="45"/>
      <c r="E764" s="2"/>
      <c r="F764" s="9">
        <f t="shared" si="23"/>
        <v>0</v>
      </c>
    </row>
    <row r="765" spans="2:6" x14ac:dyDescent="0.2">
      <c r="B765" s="83"/>
      <c r="C765" s="2" t="s">
        <v>143</v>
      </c>
      <c r="D765" s="45"/>
      <c r="E765" s="2"/>
      <c r="F765" s="9">
        <f t="shared" si="23"/>
        <v>0</v>
      </c>
    </row>
    <row r="766" spans="2:6" x14ac:dyDescent="0.2">
      <c r="B766" s="83"/>
      <c r="C766" s="2" t="s">
        <v>126</v>
      </c>
      <c r="D766" s="45"/>
      <c r="E766" s="2"/>
      <c r="F766" s="9">
        <f t="shared" si="23"/>
        <v>0</v>
      </c>
    </row>
    <row r="767" spans="2:6" x14ac:dyDescent="0.2">
      <c r="B767" s="83"/>
      <c r="C767" s="2" t="s">
        <v>153</v>
      </c>
      <c r="D767" s="45"/>
      <c r="E767" s="2"/>
      <c r="F767" s="9">
        <f t="shared" si="23"/>
        <v>0</v>
      </c>
    </row>
    <row r="768" spans="2:6" x14ac:dyDescent="0.2">
      <c r="B768" s="83"/>
      <c r="C768" s="2" t="s">
        <v>141</v>
      </c>
      <c r="D768" s="45"/>
      <c r="E768" s="2"/>
      <c r="F768" s="9">
        <f t="shared" si="23"/>
        <v>0</v>
      </c>
    </row>
    <row r="769" spans="2:6" x14ac:dyDescent="0.2">
      <c r="B769" s="83"/>
      <c r="C769" s="2" t="s">
        <v>144</v>
      </c>
      <c r="D769" s="45"/>
      <c r="E769" s="2"/>
      <c r="F769" s="9">
        <f t="shared" si="23"/>
        <v>0</v>
      </c>
    </row>
    <row r="770" spans="2:6" x14ac:dyDescent="0.2">
      <c r="B770" s="84"/>
      <c r="C770" s="2" t="s">
        <v>147</v>
      </c>
      <c r="D770" s="45"/>
      <c r="E770" s="2"/>
      <c r="F770" s="9">
        <f t="shared" si="23"/>
        <v>0</v>
      </c>
    </row>
    <row r="771" spans="2:6" x14ac:dyDescent="0.2">
      <c r="B771" s="83"/>
      <c r="C771" s="2" t="s">
        <v>173</v>
      </c>
      <c r="D771" s="45"/>
      <c r="E771" s="2"/>
      <c r="F771" s="9">
        <f t="shared" si="23"/>
        <v>0</v>
      </c>
    </row>
    <row r="772" spans="2:6" x14ac:dyDescent="0.2">
      <c r="B772" s="83"/>
      <c r="C772" s="2" t="s">
        <v>159</v>
      </c>
      <c r="D772" s="45"/>
      <c r="E772" s="2"/>
      <c r="F772" s="9">
        <f t="shared" si="23"/>
        <v>0</v>
      </c>
    </row>
    <row r="773" spans="2:6" x14ac:dyDescent="0.2">
      <c r="B773" s="83"/>
      <c r="C773" s="2" t="s">
        <v>148</v>
      </c>
      <c r="D773" s="45"/>
      <c r="E773" s="2"/>
      <c r="F773" s="9">
        <f t="shared" si="23"/>
        <v>0</v>
      </c>
    </row>
    <row r="774" spans="2:6" x14ac:dyDescent="0.2">
      <c r="B774" s="83"/>
      <c r="C774" s="2"/>
      <c r="D774" s="45"/>
      <c r="E774" s="2"/>
      <c r="F774" s="9">
        <f t="shared" si="23"/>
        <v>0</v>
      </c>
    </row>
    <row r="775" spans="2:6" x14ac:dyDescent="0.2">
      <c r="B775" s="83"/>
      <c r="C775" s="2"/>
      <c r="D775" s="45"/>
      <c r="E775" s="2"/>
      <c r="F775" s="9">
        <f t="shared" si="23"/>
        <v>0</v>
      </c>
    </row>
    <row r="776" spans="2:6" x14ac:dyDescent="0.2">
      <c r="B776" s="83"/>
      <c r="C776" s="2"/>
      <c r="D776" s="45"/>
      <c r="E776" s="2"/>
      <c r="F776" s="9">
        <f t="shared" si="23"/>
        <v>0</v>
      </c>
    </row>
    <row r="777" spans="2:6" x14ac:dyDescent="0.2">
      <c r="B777" s="83"/>
      <c r="C777" s="2"/>
      <c r="D777" s="45"/>
      <c r="E777" s="2"/>
      <c r="F777" s="9">
        <f t="shared" si="23"/>
        <v>0</v>
      </c>
    </row>
    <row r="778" spans="2:6" x14ac:dyDescent="0.2">
      <c r="B778" s="83"/>
      <c r="C778" s="56"/>
      <c r="D778" s="45"/>
      <c r="E778" s="2"/>
      <c r="F778" s="9">
        <f t="shared" si="23"/>
        <v>0</v>
      </c>
    </row>
    <row r="779" spans="2:6" x14ac:dyDescent="0.2">
      <c r="B779" s="8"/>
      <c r="C779" s="159"/>
      <c r="D779" s="160"/>
      <c r="E779" s="161"/>
      <c r="F779" s="70"/>
    </row>
    <row r="780" spans="2:6" ht="15.75" thickBot="1" x14ac:dyDescent="0.25">
      <c r="B780" s="144" t="s">
        <v>11</v>
      </c>
      <c r="C780" s="145"/>
      <c r="D780" s="145"/>
      <c r="E780" s="146"/>
      <c r="F780" s="10">
        <f>SUM(F745:F779)</f>
        <v>0</v>
      </c>
    </row>
    <row r="781" spans="2:6" x14ac:dyDescent="0.2">
      <c r="B781" s="153" t="s">
        <v>7</v>
      </c>
      <c r="C781" s="154"/>
      <c r="D781" s="154"/>
      <c r="E781" s="155"/>
      <c r="F781" s="17">
        <v>1847000</v>
      </c>
    </row>
    <row r="782" spans="2:6" x14ac:dyDescent="0.2">
      <c r="B782" s="147" t="s">
        <v>8</v>
      </c>
      <c r="C782" s="148"/>
      <c r="D782" s="148"/>
      <c r="E782" s="149"/>
      <c r="F782" s="28">
        <f>F780+F781</f>
        <v>1847000</v>
      </c>
    </row>
    <row r="783" spans="2:6" x14ac:dyDescent="0.2">
      <c r="B783" s="147" t="s">
        <v>9</v>
      </c>
      <c r="C783" s="148"/>
      <c r="D783" s="148"/>
      <c r="E783" s="149"/>
      <c r="F783" s="39"/>
    </row>
    <row r="784" spans="2:6" ht="15.75" thickBot="1" x14ac:dyDescent="0.25">
      <c r="B784" s="150"/>
      <c r="C784" s="151"/>
      <c r="D784" s="151"/>
      <c r="E784" s="152"/>
      <c r="F784" s="12">
        <f>F783-F782</f>
        <v>-1847000</v>
      </c>
    </row>
    <row r="785" spans="1:6" ht="15.75" thickBot="1" x14ac:dyDescent="0.25"/>
    <row r="786" spans="1:6" x14ac:dyDescent="0.2">
      <c r="A786" s="27" t="s">
        <v>42</v>
      </c>
      <c r="B786" s="6" t="s">
        <v>2</v>
      </c>
      <c r="C786" s="156">
        <f>C740</f>
        <v>0</v>
      </c>
      <c r="D786" s="157"/>
      <c r="E786" s="157"/>
      <c r="F786" s="158"/>
    </row>
    <row r="787" spans="1:6" x14ac:dyDescent="0.2">
      <c r="A787">
        <v>0</v>
      </c>
      <c r="B787" s="7" t="s">
        <v>0</v>
      </c>
      <c r="C787" s="142" t="s">
        <v>115</v>
      </c>
      <c r="D787" s="142"/>
      <c r="E787" s="142"/>
      <c r="F787" s="143"/>
    </row>
    <row r="788" spans="1:6" x14ac:dyDescent="0.2">
      <c r="B788" s="7" t="s">
        <v>1</v>
      </c>
      <c r="C788" s="142"/>
      <c r="D788" s="142"/>
      <c r="E788" s="142"/>
      <c r="F788" s="143"/>
    </row>
    <row r="789" spans="1:6" ht="15.75" thickBot="1" x14ac:dyDescent="0.25">
      <c r="B789" s="7"/>
      <c r="C789" s="162"/>
      <c r="D789" s="162"/>
      <c r="E789" s="162"/>
      <c r="F789" s="163"/>
    </row>
    <row r="790" spans="1:6" x14ac:dyDescent="0.2">
      <c r="B790" s="91" t="s">
        <v>108</v>
      </c>
      <c r="C790" s="92" t="s">
        <v>3</v>
      </c>
      <c r="D790" s="92" t="s">
        <v>4</v>
      </c>
      <c r="E790" s="93"/>
      <c r="F790" s="94" t="s">
        <v>5</v>
      </c>
    </row>
    <row r="791" spans="1:6" x14ac:dyDescent="0.2">
      <c r="B791" s="8"/>
      <c r="C791" s="35" t="s">
        <v>67</v>
      </c>
      <c r="D791" s="60"/>
      <c r="E791" s="2">
        <v>3750</v>
      </c>
      <c r="F791" s="9">
        <f t="shared" ref="F791:F824" si="24">(B791-D791) *E791</f>
        <v>0</v>
      </c>
    </row>
    <row r="792" spans="1:6" x14ac:dyDescent="0.2">
      <c r="B792" s="96"/>
      <c r="C792" s="1" t="s">
        <v>14</v>
      </c>
      <c r="D792" s="80"/>
      <c r="E792" s="56">
        <v>9250</v>
      </c>
      <c r="F792" s="81">
        <f t="shared" si="24"/>
        <v>0</v>
      </c>
    </row>
    <row r="793" spans="1:6" x14ac:dyDescent="0.2">
      <c r="B793" s="95">
        <v>125</v>
      </c>
      <c r="C793" s="1" t="s">
        <v>15</v>
      </c>
      <c r="D793" s="45"/>
      <c r="E793" s="2">
        <v>4750</v>
      </c>
      <c r="F793" s="9">
        <f t="shared" si="24"/>
        <v>593750</v>
      </c>
    </row>
    <row r="794" spans="1:6" x14ac:dyDescent="0.2">
      <c r="B794" s="95"/>
      <c r="C794" s="1" t="s">
        <v>62</v>
      </c>
      <c r="D794" s="45"/>
      <c r="E794" s="2">
        <v>17000</v>
      </c>
      <c r="F794" s="9">
        <f t="shared" si="24"/>
        <v>0</v>
      </c>
    </row>
    <row r="795" spans="1:6" x14ac:dyDescent="0.2">
      <c r="B795" s="95"/>
      <c r="C795" s="1" t="s">
        <v>18</v>
      </c>
      <c r="D795" s="45"/>
      <c r="E795" s="2"/>
      <c r="F795" s="9">
        <f t="shared" si="24"/>
        <v>0</v>
      </c>
    </row>
    <row r="796" spans="1:6" x14ac:dyDescent="0.2">
      <c r="B796" s="95"/>
      <c r="C796" s="1" t="s">
        <v>139</v>
      </c>
      <c r="D796" s="45"/>
      <c r="E796" s="2"/>
      <c r="F796" s="9">
        <f t="shared" si="24"/>
        <v>0</v>
      </c>
    </row>
    <row r="797" spans="1:6" x14ac:dyDescent="0.2">
      <c r="B797" s="95"/>
      <c r="C797" s="1" t="s">
        <v>197</v>
      </c>
      <c r="D797" s="45"/>
      <c r="E797" s="2"/>
      <c r="F797" s="9">
        <f t="shared" si="24"/>
        <v>0</v>
      </c>
    </row>
    <row r="798" spans="1:6" x14ac:dyDescent="0.2">
      <c r="B798" s="95"/>
      <c r="C798" s="1" t="s">
        <v>197</v>
      </c>
      <c r="D798" s="45"/>
      <c r="E798" s="2"/>
      <c r="F798" s="9">
        <f t="shared" si="24"/>
        <v>0</v>
      </c>
    </row>
    <row r="799" spans="1:6" x14ac:dyDescent="0.2">
      <c r="B799" s="95"/>
      <c r="C799" s="2" t="s">
        <v>74</v>
      </c>
      <c r="D799" s="45"/>
      <c r="E799" s="2"/>
      <c r="F799" s="9">
        <f t="shared" si="24"/>
        <v>0</v>
      </c>
    </row>
    <row r="800" spans="1:6" x14ac:dyDescent="0.2">
      <c r="B800" s="95"/>
      <c r="C800" s="2" t="s">
        <v>79</v>
      </c>
      <c r="D800" s="45"/>
      <c r="E800" s="2"/>
      <c r="F800" s="9">
        <f t="shared" si="24"/>
        <v>0</v>
      </c>
    </row>
    <row r="801" spans="2:6" x14ac:dyDescent="0.2">
      <c r="B801" s="95"/>
      <c r="C801" s="2" t="s">
        <v>145</v>
      </c>
      <c r="D801" s="45"/>
      <c r="E801" s="2"/>
      <c r="F801" s="9">
        <f t="shared" si="24"/>
        <v>0</v>
      </c>
    </row>
    <row r="802" spans="2:6" x14ac:dyDescent="0.2">
      <c r="B802" s="95"/>
      <c r="C802" s="2" t="s">
        <v>152</v>
      </c>
      <c r="D802" s="45"/>
      <c r="E802" s="2"/>
      <c r="F802" s="9">
        <f t="shared" si="24"/>
        <v>0</v>
      </c>
    </row>
    <row r="803" spans="2:6" x14ac:dyDescent="0.2">
      <c r="B803" s="95"/>
      <c r="C803" s="2" t="s">
        <v>166</v>
      </c>
      <c r="D803" s="45"/>
      <c r="E803" s="2"/>
      <c r="F803" s="9">
        <f t="shared" si="24"/>
        <v>0</v>
      </c>
    </row>
    <row r="804" spans="2:6" x14ac:dyDescent="0.2">
      <c r="B804" s="95"/>
      <c r="C804" s="2" t="s">
        <v>174</v>
      </c>
      <c r="D804" s="45"/>
      <c r="E804" s="2"/>
      <c r="F804" s="9">
        <f t="shared" si="24"/>
        <v>0</v>
      </c>
    </row>
    <row r="805" spans="2:6" x14ac:dyDescent="0.2">
      <c r="B805" s="97"/>
      <c r="C805" s="2" t="s">
        <v>175</v>
      </c>
      <c r="D805" s="45"/>
      <c r="E805" s="2"/>
      <c r="F805" s="9">
        <f t="shared" si="24"/>
        <v>0</v>
      </c>
    </row>
    <row r="806" spans="2:6" x14ac:dyDescent="0.2">
      <c r="B806" s="95"/>
      <c r="C806" s="2" t="s">
        <v>172</v>
      </c>
      <c r="D806" s="45"/>
      <c r="E806" s="2"/>
      <c r="F806" s="9">
        <f t="shared" si="24"/>
        <v>0</v>
      </c>
    </row>
    <row r="807" spans="2:6" x14ac:dyDescent="0.2">
      <c r="B807" s="95"/>
      <c r="C807" s="56" t="s">
        <v>142</v>
      </c>
      <c r="D807" s="45"/>
      <c r="E807" s="2"/>
      <c r="F807" s="9">
        <f t="shared" si="24"/>
        <v>0</v>
      </c>
    </row>
    <row r="808" spans="2:6" x14ac:dyDescent="0.2">
      <c r="B808" s="95"/>
      <c r="C808" s="2" t="s">
        <v>146</v>
      </c>
      <c r="D808" s="45"/>
      <c r="E808" s="2"/>
      <c r="F808" s="9">
        <f t="shared" si="24"/>
        <v>0</v>
      </c>
    </row>
    <row r="809" spans="2:6" x14ac:dyDescent="0.2">
      <c r="B809" s="95"/>
      <c r="C809" s="2" t="s">
        <v>121</v>
      </c>
      <c r="D809" s="45"/>
      <c r="E809" s="2"/>
      <c r="F809" s="9">
        <f t="shared" si="24"/>
        <v>0</v>
      </c>
    </row>
    <row r="810" spans="2:6" x14ac:dyDescent="0.2">
      <c r="B810" s="95"/>
      <c r="C810" s="2" t="s">
        <v>122</v>
      </c>
      <c r="D810" s="45"/>
      <c r="E810" s="2"/>
      <c r="F810" s="9">
        <f t="shared" si="24"/>
        <v>0</v>
      </c>
    </row>
    <row r="811" spans="2:6" x14ac:dyDescent="0.2">
      <c r="B811" s="95"/>
      <c r="C811" s="2" t="s">
        <v>143</v>
      </c>
      <c r="D811" s="45"/>
      <c r="E811" s="2"/>
      <c r="F811" s="9">
        <f t="shared" si="24"/>
        <v>0</v>
      </c>
    </row>
    <row r="812" spans="2:6" x14ac:dyDescent="0.2">
      <c r="B812" s="95"/>
      <c r="C812" s="2" t="s">
        <v>126</v>
      </c>
      <c r="D812" s="45"/>
      <c r="E812" s="2"/>
      <c r="F812" s="9">
        <f t="shared" si="24"/>
        <v>0</v>
      </c>
    </row>
    <row r="813" spans="2:6" x14ac:dyDescent="0.2">
      <c r="B813" s="95"/>
      <c r="C813" s="2" t="s">
        <v>153</v>
      </c>
      <c r="D813" s="45"/>
      <c r="E813" s="2"/>
      <c r="F813" s="9">
        <f t="shared" si="24"/>
        <v>0</v>
      </c>
    </row>
    <row r="814" spans="2:6" x14ac:dyDescent="0.2">
      <c r="B814" s="95"/>
      <c r="C814" s="2" t="s">
        <v>141</v>
      </c>
      <c r="D814" s="45"/>
      <c r="E814" s="2"/>
      <c r="F814" s="9">
        <f t="shared" si="24"/>
        <v>0</v>
      </c>
    </row>
    <row r="815" spans="2:6" x14ac:dyDescent="0.2">
      <c r="B815" s="95"/>
      <c r="C815" s="2" t="s">
        <v>190</v>
      </c>
      <c r="D815" s="45"/>
      <c r="E815" s="2">
        <v>4700</v>
      </c>
      <c r="F815" s="9">
        <f t="shared" si="24"/>
        <v>0</v>
      </c>
    </row>
    <row r="816" spans="2:6" x14ac:dyDescent="0.2">
      <c r="B816" s="96"/>
      <c r="C816" s="2" t="s">
        <v>147</v>
      </c>
      <c r="D816" s="45"/>
      <c r="E816" s="2"/>
      <c r="F816" s="9">
        <f t="shared" si="24"/>
        <v>0</v>
      </c>
    </row>
    <row r="817" spans="1:6" x14ac:dyDescent="0.2">
      <c r="B817" s="95"/>
      <c r="C817" s="2" t="s">
        <v>173</v>
      </c>
      <c r="D817" s="45"/>
      <c r="E817" s="2"/>
      <c r="F817" s="9">
        <f t="shared" si="24"/>
        <v>0</v>
      </c>
    </row>
    <row r="818" spans="1:6" x14ac:dyDescent="0.2">
      <c r="B818" s="95"/>
      <c r="C818" s="2" t="s">
        <v>159</v>
      </c>
      <c r="D818" s="45"/>
      <c r="E818" s="2"/>
      <c r="F818" s="9">
        <f t="shared" si="24"/>
        <v>0</v>
      </c>
    </row>
    <row r="819" spans="1:6" x14ac:dyDescent="0.2">
      <c r="B819" s="95"/>
      <c r="C819" s="2" t="s">
        <v>148</v>
      </c>
      <c r="D819" s="45"/>
      <c r="E819" s="2"/>
      <c r="F819" s="9">
        <f t="shared" si="24"/>
        <v>0</v>
      </c>
    </row>
    <row r="820" spans="1:6" x14ac:dyDescent="0.2">
      <c r="B820" s="95"/>
      <c r="C820" s="2"/>
      <c r="D820" s="45"/>
      <c r="E820" s="2"/>
      <c r="F820" s="9">
        <f t="shared" si="24"/>
        <v>0</v>
      </c>
    </row>
    <row r="821" spans="1:6" x14ac:dyDescent="0.2">
      <c r="B821" s="95"/>
      <c r="C821" s="2"/>
      <c r="D821" s="45"/>
      <c r="E821" s="2"/>
      <c r="F821" s="9">
        <f t="shared" si="24"/>
        <v>0</v>
      </c>
    </row>
    <row r="822" spans="1:6" x14ac:dyDescent="0.2">
      <c r="B822" s="95"/>
      <c r="C822" s="2"/>
      <c r="D822" s="45"/>
      <c r="E822" s="2"/>
      <c r="F822" s="9">
        <f t="shared" si="24"/>
        <v>0</v>
      </c>
    </row>
    <row r="823" spans="1:6" x14ac:dyDescent="0.2">
      <c r="B823" s="95"/>
      <c r="C823" s="2"/>
      <c r="D823" s="45"/>
      <c r="E823" s="2"/>
      <c r="F823" s="9">
        <f t="shared" si="24"/>
        <v>0</v>
      </c>
    </row>
    <row r="824" spans="1:6" x14ac:dyDescent="0.2">
      <c r="B824" s="95"/>
      <c r="C824" s="56"/>
      <c r="D824" s="45"/>
      <c r="E824" s="2"/>
      <c r="F824" s="9">
        <f t="shared" si="24"/>
        <v>0</v>
      </c>
    </row>
    <row r="825" spans="1:6" x14ac:dyDescent="0.2">
      <c r="B825" s="8"/>
      <c r="C825" s="159"/>
      <c r="D825" s="160"/>
      <c r="E825" s="161"/>
      <c r="F825" s="70"/>
    </row>
    <row r="826" spans="1:6" ht="15.75" thickBot="1" x14ac:dyDescent="0.25">
      <c r="B826" s="144" t="s">
        <v>11</v>
      </c>
      <c r="C826" s="145"/>
      <c r="D826" s="145"/>
      <c r="E826" s="146"/>
      <c r="F826" s="10">
        <f>SUM(F791:F825)</f>
        <v>593750</v>
      </c>
    </row>
    <row r="827" spans="1:6" x14ac:dyDescent="0.2">
      <c r="B827" s="153" t="s">
        <v>7</v>
      </c>
      <c r="C827" s="154"/>
      <c r="D827" s="154"/>
      <c r="E827" s="155"/>
      <c r="F827" s="17"/>
    </row>
    <row r="828" spans="1:6" x14ac:dyDescent="0.2">
      <c r="B828" s="147" t="s">
        <v>8</v>
      </c>
      <c r="C828" s="148"/>
      <c r="D828" s="148"/>
      <c r="E828" s="149"/>
      <c r="F828" s="28">
        <f>F826+F827</f>
        <v>593750</v>
      </c>
    </row>
    <row r="829" spans="1:6" x14ac:dyDescent="0.2">
      <c r="B829" s="147" t="s">
        <v>9</v>
      </c>
      <c r="C829" s="148"/>
      <c r="D829" s="148"/>
      <c r="E829" s="149"/>
      <c r="F829" s="39"/>
    </row>
    <row r="830" spans="1:6" ht="15.75" thickBot="1" x14ac:dyDescent="0.25">
      <c r="B830" s="150" t="s">
        <v>10</v>
      </c>
      <c r="C830" s="151"/>
      <c r="D830" s="151"/>
      <c r="E830" s="152"/>
      <c r="F830" s="12">
        <f>F829-F828</f>
        <v>-593750</v>
      </c>
    </row>
    <row r="831" spans="1:6" ht="15.75" thickBot="1" x14ac:dyDescent="0.25"/>
    <row r="832" spans="1:6" x14ac:dyDescent="0.2">
      <c r="A832" s="27" t="s">
        <v>43</v>
      </c>
      <c r="B832" s="6" t="s">
        <v>2</v>
      </c>
      <c r="C832" s="156">
        <f>C786</f>
        <v>0</v>
      </c>
      <c r="D832" s="157"/>
      <c r="E832" s="157"/>
      <c r="F832" s="158"/>
    </row>
    <row r="833" spans="2:6" x14ac:dyDescent="0.2">
      <c r="B833" s="7" t="s">
        <v>0</v>
      </c>
      <c r="C833" s="142" t="s">
        <v>187</v>
      </c>
      <c r="D833" s="142"/>
      <c r="E833" s="142"/>
      <c r="F833" s="143"/>
    </row>
    <row r="834" spans="2:6" x14ac:dyDescent="0.2">
      <c r="B834" s="7" t="s">
        <v>1</v>
      </c>
      <c r="C834" s="142"/>
      <c r="D834" s="142"/>
      <c r="E834" s="142"/>
      <c r="F834" s="143"/>
    </row>
    <row r="835" spans="2:6" ht="15.75" thickBot="1" x14ac:dyDescent="0.25">
      <c r="B835" s="7"/>
      <c r="C835" s="162"/>
      <c r="D835" s="162"/>
      <c r="E835" s="162"/>
      <c r="F835" s="163"/>
    </row>
    <row r="836" spans="2:6" x14ac:dyDescent="0.2">
      <c r="B836" s="91" t="s">
        <v>108</v>
      </c>
      <c r="C836" s="92" t="s">
        <v>3</v>
      </c>
      <c r="D836" s="92" t="s">
        <v>4</v>
      </c>
      <c r="E836" s="93"/>
      <c r="F836" s="94" t="s">
        <v>5</v>
      </c>
    </row>
    <row r="837" spans="2:6" x14ac:dyDescent="0.2">
      <c r="B837" s="8"/>
      <c r="C837" s="35" t="s">
        <v>67</v>
      </c>
      <c r="D837" s="60"/>
      <c r="E837" s="2">
        <v>3750</v>
      </c>
      <c r="F837" s="9">
        <f t="shared" ref="F837:F870" si="25">(B837-D837) *E837</f>
        <v>0</v>
      </c>
    </row>
    <row r="838" spans="2:6" x14ac:dyDescent="0.2">
      <c r="B838" s="84"/>
      <c r="C838" s="1" t="s">
        <v>14</v>
      </c>
      <c r="D838" s="80"/>
      <c r="E838" s="56">
        <v>9250</v>
      </c>
      <c r="F838" s="81">
        <f t="shared" si="25"/>
        <v>0</v>
      </c>
    </row>
    <row r="839" spans="2:6" x14ac:dyDescent="0.2">
      <c r="B839" s="83"/>
      <c r="C839" s="1" t="s">
        <v>15</v>
      </c>
      <c r="D839" s="45"/>
      <c r="E839" s="2">
        <v>4750</v>
      </c>
      <c r="F839" s="9">
        <f t="shared" si="25"/>
        <v>0</v>
      </c>
    </row>
    <row r="840" spans="2:6" x14ac:dyDescent="0.2">
      <c r="B840" s="83"/>
      <c r="C840" s="1" t="s">
        <v>62</v>
      </c>
      <c r="D840" s="45"/>
      <c r="E840" s="2">
        <v>17000</v>
      </c>
      <c r="F840" s="9">
        <f t="shared" si="25"/>
        <v>0</v>
      </c>
    </row>
    <row r="841" spans="2:6" x14ac:dyDescent="0.2">
      <c r="B841" s="83"/>
      <c r="C841" s="1" t="s">
        <v>18</v>
      </c>
      <c r="D841" s="45"/>
      <c r="E841" s="2"/>
      <c r="F841" s="9">
        <f t="shared" si="25"/>
        <v>0</v>
      </c>
    </row>
    <row r="842" spans="2:6" x14ac:dyDescent="0.2">
      <c r="B842" s="83"/>
      <c r="C842" s="1" t="s">
        <v>139</v>
      </c>
      <c r="D842" s="45"/>
      <c r="E842" s="2"/>
      <c r="F842" s="9">
        <f t="shared" si="25"/>
        <v>0</v>
      </c>
    </row>
    <row r="843" spans="2:6" x14ac:dyDescent="0.2">
      <c r="B843" s="83"/>
      <c r="C843" s="1" t="s">
        <v>123</v>
      </c>
      <c r="D843" s="45"/>
      <c r="E843" s="2"/>
      <c r="F843" s="9">
        <f t="shared" si="25"/>
        <v>0</v>
      </c>
    </row>
    <row r="844" spans="2:6" x14ac:dyDescent="0.2">
      <c r="B844" s="83"/>
      <c r="C844" s="1" t="s">
        <v>151</v>
      </c>
      <c r="D844" s="45"/>
      <c r="E844" s="2"/>
      <c r="F844" s="9">
        <f t="shared" si="25"/>
        <v>0</v>
      </c>
    </row>
    <row r="845" spans="2:6" x14ac:dyDescent="0.2">
      <c r="B845" s="83"/>
      <c r="C845" s="2" t="s">
        <v>74</v>
      </c>
      <c r="D845" s="45"/>
      <c r="E845" s="2"/>
      <c r="F845" s="9">
        <f t="shared" si="25"/>
        <v>0</v>
      </c>
    </row>
    <row r="846" spans="2:6" x14ac:dyDescent="0.2">
      <c r="B846" s="83"/>
      <c r="C846" s="2" t="s">
        <v>79</v>
      </c>
      <c r="D846" s="45"/>
      <c r="E846" s="2"/>
      <c r="F846" s="9">
        <f t="shared" si="25"/>
        <v>0</v>
      </c>
    </row>
    <row r="847" spans="2:6" x14ac:dyDescent="0.2">
      <c r="B847" s="83"/>
      <c r="C847" s="2" t="s">
        <v>145</v>
      </c>
      <c r="D847" s="45"/>
      <c r="E847" s="2"/>
      <c r="F847" s="9">
        <f t="shared" si="25"/>
        <v>0</v>
      </c>
    </row>
    <row r="848" spans="2:6" x14ac:dyDescent="0.2">
      <c r="B848" s="83"/>
      <c r="C848" s="2" t="s">
        <v>152</v>
      </c>
      <c r="D848" s="45"/>
      <c r="E848" s="2"/>
      <c r="F848" s="9">
        <f t="shared" si="25"/>
        <v>0</v>
      </c>
    </row>
    <row r="849" spans="2:6" x14ac:dyDescent="0.2">
      <c r="B849" s="83"/>
      <c r="C849" s="2" t="s">
        <v>166</v>
      </c>
      <c r="D849" s="45"/>
      <c r="E849" s="2"/>
      <c r="F849" s="9">
        <f t="shared" si="25"/>
        <v>0</v>
      </c>
    </row>
    <row r="850" spans="2:6" x14ac:dyDescent="0.2">
      <c r="B850" s="83"/>
      <c r="C850" s="2" t="s">
        <v>174</v>
      </c>
      <c r="D850" s="45"/>
      <c r="E850" s="2"/>
      <c r="F850" s="9">
        <f t="shared" si="25"/>
        <v>0</v>
      </c>
    </row>
    <row r="851" spans="2:6" x14ac:dyDescent="0.2">
      <c r="B851" s="85"/>
      <c r="C851" s="2" t="s">
        <v>175</v>
      </c>
      <c r="D851" s="45"/>
      <c r="E851" s="2"/>
      <c r="F851" s="9">
        <f t="shared" si="25"/>
        <v>0</v>
      </c>
    </row>
    <row r="852" spans="2:6" x14ac:dyDescent="0.2">
      <c r="B852" s="83"/>
      <c r="C852" s="2" t="s">
        <v>172</v>
      </c>
      <c r="D852" s="45"/>
      <c r="E852" s="2"/>
      <c r="F852" s="9">
        <f t="shared" si="25"/>
        <v>0</v>
      </c>
    </row>
    <row r="853" spans="2:6" x14ac:dyDescent="0.2">
      <c r="B853" s="83"/>
      <c r="C853" s="56" t="s">
        <v>142</v>
      </c>
      <c r="D853" s="45"/>
      <c r="E853" s="2"/>
      <c r="F853" s="9">
        <f t="shared" si="25"/>
        <v>0</v>
      </c>
    </row>
    <row r="854" spans="2:6" x14ac:dyDescent="0.2">
      <c r="B854" s="83"/>
      <c r="C854" s="2" t="s">
        <v>146</v>
      </c>
      <c r="D854" s="45"/>
      <c r="E854" s="2"/>
      <c r="F854" s="9">
        <f t="shared" si="25"/>
        <v>0</v>
      </c>
    </row>
    <row r="855" spans="2:6" x14ac:dyDescent="0.2">
      <c r="B855" s="83"/>
      <c r="C855" s="2" t="s">
        <v>121</v>
      </c>
      <c r="D855" s="45"/>
      <c r="E855" s="2"/>
      <c r="F855" s="9">
        <f t="shared" si="25"/>
        <v>0</v>
      </c>
    </row>
    <row r="856" spans="2:6" x14ac:dyDescent="0.2">
      <c r="B856" s="83"/>
      <c r="C856" s="2" t="s">
        <v>122</v>
      </c>
      <c r="D856" s="45"/>
      <c r="E856" s="2"/>
      <c r="F856" s="9">
        <f t="shared" si="25"/>
        <v>0</v>
      </c>
    </row>
    <row r="857" spans="2:6" x14ac:dyDescent="0.2">
      <c r="B857" s="83"/>
      <c r="C857" s="2" t="s">
        <v>143</v>
      </c>
      <c r="D857" s="45"/>
      <c r="E857" s="2"/>
      <c r="F857" s="9">
        <f t="shared" si="25"/>
        <v>0</v>
      </c>
    </row>
    <row r="858" spans="2:6" x14ac:dyDescent="0.2">
      <c r="B858" s="83"/>
      <c r="C858" s="2" t="s">
        <v>126</v>
      </c>
      <c r="D858" s="45"/>
      <c r="E858" s="2"/>
      <c r="F858" s="9">
        <f t="shared" si="25"/>
        <v>0</v>
      </c>
    </row>
    <row r="859" spans="2:6" x14ac:dyDescent="0.2">
      <c r="B859" s="83"/>
      <c r="C859" s="2" t="s">
        <v>153</v>
      </c>
      <c r="D859" s="45"/>
      <c r="E859" s="2"/>
      <c r="F859" s="9">
        <f t="shared" si="25"/>
        <v>0</v>
      </c>
    </row>
    <row r="860" spans="2:6" x14ac:dyDescent="0.2">
      <c r="B860" s="83"/>
      <c r="C860" s="2" t="s">
        <v>141</v>
      </c>
      <c r="D860" s="45"/>
      <c r="E860" s="2"/>
      <c r="F860" s="9">
        <f t="shared" si="25"/>
        <v>0</v>
      </c>
    </row>
    <row r="861" spans="2:6" x14ac:dyDescent="0.2">
      <c r="B861" s="83"/>
      <c r="C861" s="2" t="s">
        <v>144</v>
      </c>
      <c r="D861" s="45"/>
      <c r="E861" s="2"/>
      <c r="F861" s="9">
        <f t="shared" si="25"/>
        <v>0</v>
      </c>
    </row>
    <row r="862" spans="2:6" x14ac:dyDescent="0.2">
      <c r="B862" s="84"/>
      <c r="C862" s="2" t="s">
        <v>147</v>
      </c>
      <c r="D862" s="45"/>
      <c r="E862" s="2"/>
      <c r="F862" s="9">
        <f t="shared" si="25"/>
        <v>0</v>
      </c>
    </row>
    <row r="863" spans="2:6" x14ac:dyDescent="0.2">
      <c r="B863" s="83"/>
      <c r="C863" s="2" t="s">
        <v>173</v>
      </c>
      <c r="D863" s="45"/>
      <c r="E863" s="2"/>
      <c r="F863" s="9">
        <f t="shared" si="25"/>
        <v>0</v>
      </c>
    </row>
    <row r="864" spans="2:6" x14ac:dyDescent="0.2">
      <c r="B864" s="83"/>
      <c r="C864" s="2" t="s">
        <v>159</v>
      </c>
      <c r="D864" s="45"/>
      <c r="E864" s="2"/>
      <c r="F864" s="9">
        <f t="shared" si="25"/>
        <v>0</v>
      </c>
    </row>
    <row r="865" spans="1:6" x14ac:dyDescent="0.2">
      <c r="B865" s="83"/>
      <c r="C865" s="2" t="s">
        <v>148</v>
      </c>
      <c r="D865" s="45"/>
      <c r="E865" s="2"/>
      <c r="F865" s="9">
        <f t="shared" si="25"/>
        <v>0</v>
      </c>
    </row>
    <row r="866" spans="1:6" x14ac:dyDescent="0.2">
      <c r="B866" s="83"/>
      <c r="C866" s="2"/>
      <c r="D866" s="45"/>
      <c r="E866" s="2"/>
      <c r="F866" s="9">
        <f t="shared" si="25"/>
        <v>0</v>
      </c>
    </row>
    <row r="867" spans="1:6" x14ac:dyDescent="0.2">
      <c r="B867" s="83"/>
      <c r="C867" s="2"/>
      <c r="D867" s="45"/>
      <c r="E867" s="2"/>
      <c r="F867" s="9">
        <f t="shared" si="25"/>
        <v>0</v>
      </c>
    </row>
    <row r="868" spans="1:6" x14ac:dyDescent="0.2">
      <c r="B868" s="83"/>
      <c r="C868" s="2"/>
      <c r="D868" s="45"/>
      <c r="E868" s="2"/>
      <c r="F868" s="9">
        <f t="shared" si="25"/>
        <v>0</v>
      </c>
    </row>
    <row r="869" spans="1:6" x14ac:dyDescent="0.2">
      <c r="B869" s="83"/>
      <c r="C869" s="2"/>
      <c r="D869" s="45"/>
      <c r="E869" s="2"/>
      <c r="F869" s="9">
        <f t="shared" si="25"/>
        <v>0</v>
      </c>
    </row>
    <row r="870" spans="1:6" x14ac:dyDescent="0.2">
      <c r="B870" s="83"/>
      <c r="C870" s="56"/>
      <c r="D870" s="45"/>
      <c r="E870" s="2"/>
      <c r="F870" s="9">
        <f t="shared" si="25"/>
        <v>0</v>
      </c>
    </row>
    <row r="871" spans="1:6" x14ac:dyDescent="0.2">
      <c r="B871" s="8"/>
      <c r="C871" s="159"/>
      <c r="D871" s="160"/>
      <c r="E871" s="161"/>
      <c r="F871" s="70"/>
    </row>
    <row r="872" spans="1:6" ht="15.75" thickBot="1" x14ac:dyDescent="0.25">
      <c r="B872" s="144" t="s">
        <v>11</v>
      </c>
      <c r="C872" s="145"/>
      <c r="D872" s="145"/>
      <c r="E872" s="146"/>
      <c r="F872" s="10">
        <f>SUM(F837:F871)</f>
        <v>0</v>
      </c>
    </row>
    <row r="873" spans="1:6" x14ac:dyDescent="0.2">
      <c r="B873" s="153" t="s">
        <v>7</v>
      </c>
      <c r="C873" s="154"/>
      <c r="D873" s="154"/>
      <c r="E873" s="155"/>
      <c r="F873" s="17"/>
    </row>
    <row r="874" spans="1:6" x14ac:dyDescent="0.2">
      <c r="B874" s="147" t="s">
        <v>8</v>
      </c>
      <c r="C874" s="148"/>
      <c r="D874" s="148"/>
      <c r="E874" s="149"/>
      <c r="F874" s="28">
        <f>F872+F873</f>
        <v>0</v>
      </c>
    </row>
    <row r="875" spans="1:6" x14ac:dyDescent="0.2">
      <c r="B875" s="147" t="s">
        <v>9</v>
      </c>
      <c r="C875" s="148"/>
      <c r="D875" s="148"/>
      <c r="E875" s="149"/>
      <c r="F875" s="39"/>
    </row>
    <row r="876" spans="1:6" ht="15.75" thickBot="1" x14ac:dyDescent="0.25">
      <c r="B876" s="150" t="s">
        <v>10</v>
      </c>
      <c r="C876" s="151"/>
      <c r="D876" s="151"/>
      <c r="E876" s="152"/>
      <c r="F876" s="12">
        <f>F875-F874</f>
        <v>0</v>
      </c>
    </row>
    <row r="877" spans="1:6" ht="15.75" thickBot="1" x14ac:dyDescent="0.25"/>
    <row r="878" spans="1:6" x14ac:dyDescent="0.2">
      <c r="A878" s="27" t="s">
        <v>44</v>
      </c>
      <c r="B878" s="6" t="s">
        <v>2</v>
      </c>
      <c r="C878" s="156">
        <f>C832</f>
        <v>0</v>
      </c>
      <c r="D878" s="157"/>
      <c r="E878" s="157"/>
      <c r="F878" s="158"/>
    </row>
    <row r="879" spans="1:6" x14ac:dyDescent="0.2">
      <c r="B879" s="7" t="s">
        <v>0</v>
      </c>
      <c r="C879" s="142" t="s">
        <v>158</v>
      </c>
      <c r="D879" s="142"/>
      <c r="E879" s="142"/>
      <c r="F879" s="143"/>
    </row>
    <row r="880" spans="1:6" x14ac:dyDescent="0.2">
      <c r="B880" s="7" t="s">
        <v>1</v>
      </c>
      <c r="C880" s="142"/>
      <c r="D880" s="142"/>
      <c r="E880" s="142"/>
      <c r="F880" s="143"/>
    </row>
    <row r="881" spans="2:6" ht="15.75" thickBot="1" x14ac:dyDescent="0.25">
      <c r="B881" s="7"/>
      <c r="C881" s="162"/>
      <c r="D881" s="162"/>
      <c r="E881" s="162"/>
      <c r="F881" s="163"/>
    </row>
    <row r="882" spans="2:6" x14ac:dyDescent="0.2">
      <c r="B882" s="91"/>
      <c r="C882" s="92" t="s">
        <v>3</v>
      </c>
      <c r="D882" s="92" t="s">
        <v>4</v>
      </c>
      <c r="E882" s="93"/>
      <c r="F882" s="94" t="s">
        <v>5</v>
      </c>
    </row>
    <row r="883" spans="2:6" x14ac:dyDescent="0.2">
      <c r="B883" s="8"/>
      <c r="C883" s="35" t="s">
        <v>67</v>
      </c>
      <c r="D883" s="60"/>
      <c r="E883" s="2">
        <v>3750</v>
      </c>
      <c r="F883" s="9">
        <f t="shared" ref="F883:F916" si="26">(B883-D883) *E883</f>
        <v>0</v>
      </c>
    </row>
    <row r="884" spans="2:6" x14ac:dyDescent="0.2">
      <c r="B884" s="84"/>
      <c r="C884" s="1" t="s">
        <v>14</v>
      </c>
      <c r="D884" s="80"/>
      <c r="E884" s="56">
        <v>9250</v>
      </c>
      <c r="F884" s="81">
        <f t="shared" si="26"/>
        <v>0</v>
      </c>
    </row>
    <row r="885" spans="2:6" x14ac:dyDescent="0.2">
      <c r="B885" s="83"/>
      <c r="C885" s="1" t="s">
        <v>15</v>
      </c>
      <c r="D885" s="45"/>
      <c r="E885" s="2">
        <v>4750</v>
      </c>
      <c r="F885" s="9">
        <f t="shared" si="26"/>
        <v>0</v>
      </c>
    </row>
    <row r="886" spans="2:6" x14ac:dyDescent="0.2">
      <c r="B886" s="83"/>
      <c r="C886" s="1" t="s">
        <v>62</v>
      </c>
      <c r="D886" s="45"/>
      <c r="E886" s="2">
        <v>17000</v>
      </c>
      <c r="F886" s="9">
        <f t="shared" si="26"/>
        <v>0</v>
      </c>
    </row>
    <row r="887" spans="2:6" x14ac:dyDescent="0.2">
      <c r="B887" s="83"/>
      <c r="C887" s="1" t="s">
        <v>18</v>
      </c>
      <c r="D887" s="45"/>
      <c r="E887" s="2"/>
      <c r="F887" s="9">
        <f t="shared" si="26"/>
        <v>0</v>
      </c>
    </row>
    <row r="888" spans="2:6" x14ac:dyDescent="0.2">
      <c r="B888" s="83"/>
      <c r="C888" s="1" t="s">
        <v>139</v>
      </c>
      <c r="D888" s="45"/>
      <c r="E888" s="2"/>
      <c r="F888" s="9">
        <f t="shared" si="26"/>
        <v>0</v>
      </c>
    </row>
    <row r="889" spans="2:6" x14ac:dyDescent="0.2">
      <c r="B889" s="83"/>
      <c r="C889" s="1" t="s">
        <v>123</v>
      </c>
      <c r="D889" s="45"/>
      <c r="E889" s="2"/>
      <c r="F889" s="9">
        <f t="shared" si="26"/>
        <v>0</v>
      </c>
    </row>
    <row r="890" spans="2:6" x14ac:dyDescent="0.2">
      <c r="B890" s="83"/>
      <c r="C890" s="1" t="s">
        <v>151</v>
      </c>
      <c r="D890" s="45"/>
      <c r="E890" s="2"/>
      <c r="F890" s="9">
        <f t="shared" si="26"/>
        <v>0</v>
      </c>
    </row>
    <row r="891" spans="2:6" x14ac:dyDescent="0.2">
      <c r="B891" s="83"/>
      <c r="C891" s="2" t="s">
        <v>74</v>
      </c>
      <c r="D891" s="45"/>
      <c r="E891" s="2"/>
      <c r="F891" s="9">
        <f t="shared" si="26"/>
        <v>0</v>
      </c>
    </row>
    <row r="892" spans="2:6" x14ac:dyDescent="0.2">
      <c r="B892" s="83"/>
      <c r="C892" s="2" t="s">
        <v>79</v>
      </c>
      <c r="D892" s="45"/>
      <c r="E892" s="2"/>
      <c r="F892" s="9">
        <f t="shared" si="26"/>
        <v>0</v>
      </c>
    </row>
    <row r="893" spans="2:6" x14ac:dyDescent="0.2">
      <c r="B893" s="83"/>
      <c r="C893" s="2" t="s">
        <v>145</v>
      </c>
      <c r="D893" s="45"/>
      <c r="E893" s="2"/>
      <c r="F893" s="9">
        <f t="shared" si="26"/>
        <v>0</v>
      </c>
    </row>
    <row r="894" spans="2:6" x14ac:dyDescent="0.2">
      <c r="B894" s="83"/>
      <c r="C894" s="2" t="s">
        <v>152</v>
      </c>
      <c r="D894" s="45"/>
      <c r="E894" s="2"/>
      <c r="F894" s="9">
        <f t="shared" si="26"/>
        <v>0</v>
      </c>
    </row>
    <row r="895" spans="2:6" x14ac:dyDescent="0.2">
      <c r="B895" s="83"/>
      <c r="C895" s="2" t="s">
        <v>166</v>
      </c>
      <c r="D895" s="45"/>
      <c r="E895" s="2"/>
      <c r="F895" s="9">
        <f t="shared" si="26"/>
        <v>0</v>
      </c>
    </row>
    <row r="896" spans="2:6" x14ac:dyDescent="0.2">
      <c r="B896" s="83"/>
      <c r="C896" s="2" t="s">
        <v>174</v>
      </c>
      <c r="D896" s="45"/>
      <c r="E896" s="2"/>
      <c r="F896" s="9">
        <f t="shared" si="26"/>
        <v>0</v>
      </c>
    </row>
    <row r="897" spans="2:6" x14ac:dyDescent="0.2">
      <c r="B897" s="85"/>
      <c r="C897" s="2" t="s">
        <v>175</v>
      </c>
      <c r="D897" s="45"/>
      <c r="E897" s="2"/>
      <c r="F897" s="9">
        <f t="shared" si="26"/>
        <v>0</v>
      </c>
    </row>
    <row r="898" spans="2:6" x14ac:dyDescent="0.2">
      <c r="B898" s="83"/>
      <c r="C898" s="2" t="s">
        <v>172</v>
      </c>
      <c r="D898" s="45"/>
      <c r="E898" s="2"/>
      <c r="F898" s="9">
        <f t="shared" si="26"/>
        <v>0</v>
      </c>
    </row>
    <row r="899" spans="2:6" x14ac:dyDescent="0.2">
      <c r="B899" s="83"/>
      <c r="C899" s="56" t="s">
        <v>142</v>
      </c>
      <c r="D899" s="45"/>
      <c r="E899" s="2"/>
      <c r="F899" s="9">
        <f t="shared" si="26"/>
        <v>0</v>
      </c>
    </row>
    <row r="900" spans="2:6" x14ac:dyDescent="0.2">
      <c r="B900" s="83"/>
      <c r="C900" s="2" t="s">
        <v>146</v>
      </c>
      <c r="D900" s="45"/>
      <c r="E900" s="2"/>
      <c r="F900" s="9">
        <f t="shared" si="26"/>
        <v>0</v>
      </c>
    </row>
    <row r="901" spans="2:6" x14ac:dyDescent="0.2">
      <c r="B901" s="83"/>
      <c r="C901" s="2" t="s">
        <v>121</v>
      </c>
      <c r="D901" s="45"/>
      <c r="E901" s="2"/>
      <c r="F901" s="9">
        <f t="shared" si="26"/>
        <v>0</v>
      </c>
    </row>
    <row r="902" spans="2:6" x14ac:dyDescent="0.2">
      <c r="B902" s="83"/>
      <c r="C902" s="2" t="s">
        <v>122</v>
      </c>
      <c r="D902" s="45"/>
      <c r="E902" s="2"/>
      <c r="F902" s="9">
        <f t="shared" si="26"/>
        <v>0</v>
      </c>
    </row>
    <row r="903" spans="2:6" x14ac:dyDescent="0.2">
      <c r="B903" s="83"/>
      <c r="C903" s="2" t="s">
        <v>143</v>
      </c>
      <c r="D903" s="45"/>
      <c r="E903" s="2"/>
      <c r="F903" s="9">
        <f t="shared" si="26"/>
        <v>0</v>
      </c>
    </row>
    <row r="904" spans="2:6" x14ac:dyDescent="0.2">
      <c r="B904" s="83"/>
      <c r="C904" s="2" t="s">
        <v>126</v>
      </c>
      <c r="D904" s="45"/>
      <c r="E904" s="2"/>
      <c r="F904" s="9">
        <f t="shared" si="26"/>
        <v>0</v>
      </c>
    </row>
    <row r="905" spans="2:6" x14ac:dyDescent="0.2">
      <c r="B905" s="83"/>
      <c r="C905" s="2" t="s">
        <v>153</v>
      </c>
      <c r="D905" s="45"/>
      <c r="E905" s="2"/>
      <c r="F905" s="9">
        <f t="shared" si="26"/>
        <v>0</v>
      </c>
    </row>
    <row r="906" spans="2:6" x14ac:dyDescent="0.2">
      <c r="B906" s="83"/>
      <c r="C906" s="2" t="s">
        <v>141</v>
      </c>
      <c r="D906" s="45"/>
      <c r="E906" s="2"/>
      <c r="F906" s="9">
        <f t="shared" si="26"/>
        <v>0</v>
      </c>
    </row>
    <row r="907" spans="2:6" x14ac:dyDescent="0.2">
      <c r="B907" s="83"/>
      <c r="C907" s="2" t="s">
        <v>144</v>
      </c>
      <c r="D907" s="45"/>
      <c r="E907" s="2"/>
      <c r="F907" s="9">
        <f t="shared" si="26"/>
        <v>0</v>
      </c>
    </row>
    <row r="908" spans="2:6" x14ac:dyDescent="0.2">
      <c r="B908" s="84"/>
      <c r="C908" s="2" t="s">
        <v>147</v>
      </c>
      <c r="D908" s="45"/>
      <c r="E908" s="2"/>
      <c r="F908" s="9">
        <f t="shared" si="26"/>
        <v>0</v>
      </c>
    </row>
    <row r="909" spans="2:6" x14ac:dyDescent="0.2">
      <c r="B909" s="83"/>
      <c r="C909" s="2" t="s">
        <v>173</v>
      </c>
      <c r="D909" s="45"/>
      <c r="E909" s="2"/>
      <c r="F909" s="9">
        <f t="shared" si="26"/>
        <v>0</v>
      </c>
    </row>
    <row r="910" spans="2:6" x14ac:dyDescent="0.2">
      <c r="B910" s="83"/>
      <c r="C910" s="2" t="s">
        <v>159</v>
      </c>
      <c r="D910" s="45"/>
      <c r="E910" s="2"/>
      <c r="F910" s="9">
        <f t="shared" si="26"/>
        <v>0</v>
      </c>
    </row>
    <row r="911" spans="2:6" x14ac:dyDescent="0.2">
      <c r="B911" s="83"/>
      <c r="C911" s="2" t="s">
        <v>148</v>
      </c>
      <c r="D911" s="45"/>
      <c r="E911" s="2"/>
      <c r="F911" s="9">
        <f t="shared" si="26"/>
        <v>0</v>
      </c>
    </row>
    <row r="912" spans="2:6" x14ac:dyDescent="0.2">
      <c r="B912" s="83"/>
      <c r="C912" s="2"/>
      <c r="D912" s="45"/>
      <c r="E912" s="2"/>
      <c r="F912" s="9">
        <f t="shared" si="26"/>
        <v>0</v>
      </c>
    </row>
    <row r="913" spans="1:6" x14ac:dyDescent="0.2">
      <c r="B913" s="83"/>
      <c r="C913" s="2"/>
      <c r="D913" s="45"/>
      <c r="E913" s="2"/>
      <c r="F913" s="9">
        <f t="shared" si="26"/>
        <v>0</v>
      </c>
    </row>
    <row r="914" spans="1:6" x14ac:dyDescent="0.2">
      <c r="B914" s="83"/>
      <c r="C914" s="2"/>
      <c r="D914" s="45"/>
      <c r="E914" s="2"/>
      <c r="F914" s="9">
        <f t="shared" si="26"/>
        <v>0</v>
      </c>
    </row>
    <row r="915" spans="1:6" x14ac:dyDescent="0.2">
      <c r="B915" s="83"/>
      <c r="C915" s="2"/>
      <c r="D915" s="45"/>
      <c r="E915" s="2"/>
      <c r="F915" s="9">
        <f t="shared" si="26"/>
        <v>0</v>
      </c>
    </row>
    <row r="916" spans="1:6" x14ac:dyDescent="0.2">
      <c r="B916" s="83"/>
      <c r="C916" s="56"/>
      <c r="D916" s="45"/>
      <c r="E916" s="2"/>
      <c r="F916" s="9">
        <f t="shared" si="26"/>
        <v>0</v>
      </c>
    </row>
    <row r="917" spans="1:6" x14ac:dyDescent="0.2">
      <c r="B917" s="8"/>
      <c r="C917" s="159"/>
      <c r="D917" s="160"/>
      <c r="E917" s="161"/>
      <c r="F917" s="70"/>
    </row>
    <row r="918" spans="1:6" ht="15.75" thickBot="1" x14ac:dyDescent="0.25">
      <c r="B918" s="144" t="s">
        <v>11</v>
      </c>
      <c r="C918" s="145"/>
      <c r="D918" s="145"/>
      <c r="E918" s="146"/>
      <c r="F918" s="10">
        <f>SUM(F883:F917)</f>
        <v>0</v>
      </c>
    </row>
    <row r="919" spans="1:6" x14ac:dyDescent="0.2">
      <c r="B919" s="153" t="s">
        <v>7</v>
      </c>
      <c r="C919" s="154"/>
      <c r="D919" s="154"/>
      <c r="E919" s="155"/>
      <c r="F919" s="17">
        <v>500000</v>
      </c>
    </row>
    <row r="920" spans="1:6" x14ac:dyDescent="0.2">
      <c r="B920" s="147" t="s">
        <v>8</v>
      </c>
      <c r="C920" s="148"/>
      <c r="D920" s="148"/>
      <c r="E920" s="149"/>
      <c r="F920" s="28">
        <f>F918+F919</f>
        <v>500000</v>
      </c>
    </row>
    <row r="921" spans="1:6" x14ac:dyDescent="0.2">
      <c r="B921" s="147" t="s">
        <v>9</v>
      </c>
      <c r="C921" s="148"/>
      <c r="D921" s="148"/>
      <c r="E921" s="149"/>
      <c r="F921" s="39"/>
    </row>
    <row r="922" spans="1:6" ht="15.75" thickBot="1" x14ac:dyDescent="0.25">
      <c r="B922" s="150" t="s">
        <v>10</v>
      </c>
      <c r="C922" s="151"/>
      <c r="D922" s="151"/>
      <c r="E922" s="152"/>
      <c r="F922" s="12">
        <f>F921-F920</f>
        <v>-500000</v>
      </c>
    </row>
    <row r="923" spans="1:6" ht="15.75" thickBot="1" x14ac:dyDescent="0.25"/>
    <row r="924" spans="1:6" x14ac:dyDescent="0.2">
      <c r="A924" s="27" t="s">
        <v>45</v>
      </c>
      <c r="B924" s="6" t="s">
        <v>2</v>
      </c>
      <c r="C924" s="156">
        <f>C878</f>
        <v>0</v>
      </c>
      <c r="D924" s="157"/>
      <c r="E924" s="157"/>
      <c r="F924" s="158"/>
    </row>
    <row r="925" spans="1:6" x14ac:dyDescent="0.2">
      <c r="B925" s="7" t="s">
        <v>0</v>
      </c>
      <c r="C925" s="142" t="s">
        <v>163</v>
      </c>
      <c r="D925" s="142"/>
      <c r="E925" s="142"/>
      <c r="F925" s="143"/>
    </row>
    <row r="926" spans="1:6" x14ac:dyDescent="0.2">
      <c r="B926" s="7" t="s">
        <v>1</v>
      </c>
      <c r="C926" s="142"/>
      <c r="D926" s="142"/>
      <c r="E926" s="142"/>
      <c r="F926" s="143"/>
    </row>
    <row r="927" spans="1:6" ht="15.75" thickBot="1" x14ac:dyDescent="0.25">
      <c r="B927" s="7"/>
      <c r="C927" s="162"/>
      <c r="D927" s="162"/>
      <c r="E927" s="162"/>
      <c r="F927" s="163"/>
    </row>
    <row r="928" spans="1:6" x14ac:dyDescent="0.2">
      <c r="B928" s="91" t="s">
        <v>108</v>
      </c>
      <c r="C928" s="92" t="s">
        <v>3</v>
      </c>
      <c r="D928" s="92" t="s">
        <v>4</v>
      </c>
      <c r="E928" s="93"/>
      <c r="F928" s="94" t="s">
        <v>5</v>
      </c>
    </row>
    <row r="929" spans="2:6" x14ac:dyDescent="0.2">
      <c r="B929" s="8"/>
      <c r="C929" s="35" t="s">
        <v>67</v>
      </c>
      <c r="D929" s="60"/>
      <c r="E929" s="2">
        <v>3750</v>
      </c>
      <c r="F929" s="9">
        <f t="shared" ref="F929:F962" si="27">(B929-D929) *E929</f>
        <v>0</v>
      </c>
    </row>
    <row r="930" spans="2:6" x14ac:dyDescent="0.2">
      <c r="B930" s="84"/>
      <c r="C930" s="1" t="s">
        <v>14</v>
      </c>
      <c r="D930" s="80"/>
      <c r="E930" s="56">
        <v>9250</v>
      </c>
      <c r="F930" s="81">
        <f t="shared" si="27"/>
        <v>0</v>
      </c>
    </row>
    <row r="931" spans="2:6" x14ac:dyDescent="0.2">
      <c r="B931" s="83"/>
      <c r="C931" s="1" t="s">
        <v>15</v>
      </c>
      <c r="D931" s="45"/>
      <c r="E931" s="2">
        <v>4700</v>
      </c>
      <c r="F931" s="9">
        <f t="shared" si="27"/>
        <v>0</v>
      </c>
    </row>
    <row r="932" spans="2:6" x14ac:dyDescent="0.2">
      <c r="B932" s="83"/>
      <c r="C932" s="1" t="s">
        <v>62</v>
      </c>
      <c r="D932" s="45"/>
      <c r="E932" s="2">
        <v>17000</v>
      </c>
      <c r="F932" s="9">
        <f t="shared" si="27"/>
        <v>0</v>
      </c>
    </row>
    <row r="933" spans="2:6" x14ac:dyDescent="0.2">
      <c r="B933" s="83"/>
      <c r="C933" s="1" t="s">
        <v>18</v>
      </c>
      <c r="D933" s="45"/>
      <c r="E933" s="2"/>
      <c r="F933" s="9">
        <f t="shared" si="27"/>
        <v>0</v>
      </c>
    </row>
    <row r="934" spans="2:6" x14ac:dyDescent="0.2">
      <c r="B934" s="83"/>
      <c r="C934" s="1" t="s">
        <v>139</v>
      </c>
      <c r="D934" s="45"/>
      <c r="E934" s="2"/>
      <c r="F934" s="9">
        <f t="shared" si="27"/>
        <v>0</v>
      </c>
    </row>
    <row r="935" spans="2:6" x14ac:dyDescent="0.2">
      <c r="B935" s="83"/>
      <c r="C935" s="1" t="s">
        <v>123</v>
      </c>
      <c r="D935" s="45"/>
      <c r="E935" s="2"/>
      <c r="F935" s="9">
        <f t="shared" si="27"/>
        <v>0</v>
      </c>
    </row>
    <row r="936" spans="2:6" x14ac:dyDescent="0.2">
      <c r="B936" s="83"/>
      <c r="C936" s="1" t="s">
        <v>151</v>
      </c>
      <c r="D936" s="45"/>
      <c r="E936" s="2">
        <v>3400</v>
      </c>
      <c r="F936" s="9">
        <f t="shared" si="27"/>
        <v>0</v>
      </c>
    </row>
    <row r="937" spans="2:6" x14ac:dyDescent="0.2">
      <c r="B937" s="83"/>
      <c r="C937" s="2" t="s">
        <v>74</v>
      </c>
      <c r="D937" s="45"/>
      <c r="E937" s="2">
        <v>3700</v>
      </c>
      <c r="F937" s="9">
        <f t="shared" si="27"/>
        <v>0</v>
      </c>
    </row>
    <row r="938" spans="2:6" x14ac:dyDescent="0.2">
      <c r="B938" s="83"/>
      <c r="C938" s="2" t="s">
        <v>79</v>
      </c>
      <c r="D938" s="45"/>
      <c r="E938" s="2">
        <v>4500</v>
      </c>
      <c r="F938" s="9">
        <f t="shared" si="27"/>
        <v>0</v>
      </c>
    </row>
    <row r="939" spans="2:6" x14ac:dyDescent="0.2">
      <c r="B939" s="83"/>
      <c r="C939" s="2" t="s">
        <v>145</v>
      </c>
      <c r="D939" s="45"/>
      <c r="E939" s="2">
        <v>3700</v>
      </c>
      <c r="F939" s="9">
        <f t="shared" si="27"/>
        <v>0</v>
      </c>
    </row>
    <row r="940" spans="2:6" x14ac:dyDescent="0.2">
      <c r="B940" s="83"/>
      <c r="C940" s="2" t="s">
        <v>152</v>
      </c>
      <c r="D940" s="45"/>
      <c r="E940" s="2">
        <v>54000</v>
      </c>
      <c r="F940" s="9">
        <f t="shared" si="27"/>
        <v>0</v>
      </c>
    </row>
    <row r="941" spans="2:6" x14ac:dyDescent="0.2">
      <c r="B941" s="83"/>
      <c r="C941" s="2" t="s">
        <v>166</v>
      </c>
      <c r="D941" s="45"/>
      <c r="E941" s="2"/>
      <c r="F941" s="9">
        <f t="shared" si="27"/>
        <v>0</v>
      </c>
    </row>
    <row r="942" spans="2:6" x14ac:dyDescent="0.2">
      <c r="B942" s="126"/>
      <c r="C942" s="2" t="s">
        <v>174</v>
      </c>
      <c r="D942" s="45"/>
      <c r="E942" s="2">
        <v>4600</v>
      </c>
      <c r="F942" s="9">
        <f t="shared" si="27"/>
        <v>0</v>
      </c>
    </row>
    <row r="943" spans="2:6" x14ac:dyDescent="0.2">
      <c r="B943" s="85"/>
      <c r="C943" s="2" t="s">
        <v>175</v>
      </c>
      <c r="D943" s="45"/>
      <c r="E943" s="2">
        <v>23100</v>
      </c>
      <c r="F943" s="9">
        <f t="shared" si="27"/>
        <v>0</v>
      </c>
    </row>
    <row r="944" spans="2:6" x14ac:dyDescent="0.2">
      <c r="B944" s="83"/>
      <c r="C944" s="2" t="s">
        <v>172</v>
      </c>
      <c r="D944" s="45"/>
      <c r="E944" s="2">
        <v>180000</v>
      </c>
      <c r="F944" s="9">
        <f t="shared" si="27"/>
        <v>0</v>
      </c>
    </row>
    <row r="945" spans="2:7" x14ac:dyDescent="0.2">
      <c r="B945" s="83"/>
      <c r="C945" s="56" t="s">
        <v>142</v>
      </c>
      <c r="D945" s="45"/>
      <c r="E945" s="2"/>
      <c r="F945" s="9">
        <f t="shared" si="27"/>
        <v>0</v>
      </c>
    </row>
    <row r="946" spans="2:7" x14ac:dyDescent="0.2">
      <c r="B946" s="83"/>
      <c r="C946" s="2" t="s">
        <v>146</v>
      </c>
      <c r="D946" s="45"/>
      <c r="E946" s="2"/>
      <c r="F946" s="9">
        <f t="shared" si="27"/>
        <v>0</v>
      </c>
    </row>
    <row r="947" spans="2:7" x14ac:dyDescent="0.2">
      <c r="B947" s="83"/>
      <c r="C947" s="2" t="s">
        <v>121</v>
      </c>
      <c r="D947" s="45"/>
      <c r="E947" s="2"/>
      <c r="F947" s="9">
        <f t="shared" si="27"/>
        <v>0</v>
      </c>
    </row>
    <row r="948" spans="2:7" x14ac:dyDescent="0.2">
      <c r="B948" s="83"/>
      <c r="C948" s="2" t="s">
        <v>122</v>
      </c>
      <c r="D948" s="45"/>
      <c r="E948" s="2"/>
      <c r="F948" s="9">
        <f t="shared" si="27"/>
        <v>0</v>
      </c>
    </row>
    <row r="949" spans="2:7" x14ac:dyDescent="0.2">
      <c r="B949" s="83"/>
      <c r="C949" s="2" t="s">
        <v>143</v>
      </c>
      <c r="D949" s="45"/>
      <c r="E949" s="2"/>
      <c r="F949" s="9">
        <f t="shared" si="27"/>
        <v>0</v>
      </c>
    </row>
    <row r="950" spans="2:7" x14ac:dyDescent="0.2">
      <c r="B950" s="83"/>
      <c r="C950" s="2" t="s">
        <v>126</v>
      </c>
      <c r="D950" s="45"/>
      <c r="E950" s="2">
        <v>110000</v>
      </c>
      <c r="F950" s="9">
        <f t="shared" si="27"/>
        <v>0</v>
      </c>
    </row>
    <row r="951" spans="2:7" x14ac:dyDescent="0.2">
      <c r="B951" s="83"/>
      <c r="C951" s="2" t="s">
        <v>153</v>
      </c>
      <c r="D951" s="45"/>
      <c r="E951" s="2"/>
      <c r="F951" s="9">
        <f t="shared" si="27"/>
        <v>0</v>
      </c>
    </row>
    <row r="952" spans="2:7" x14ac:dyDescent="0.2">
      <c r="B952" s="83"/>
      <c r="C952" s="2" t="s">
        <v>141</v>
      </c>
      <c r="D952" s="45"/>
      <c r="E952" s="2"/>
      <c r="F952" s="9">
        <f t="shared" si="27"/>
        <v>0</v>
      </c>
    </row>
    <row r="953" spans="2:7" x14ac:dyDescent="0.2">
      <c r="B953" s="83"/>
      <c r="C953" s="2" t="s">
        <v>144</v>
      </c>
      <c r="D953" s="45"/>
      <c r="E953" s="2"/>
      <c r="F953" s="9">
        <f t="shared" si="27"/>
        <v>0</v>
      </c>
    </row>
    <row r="954" spans="2:7" x14ac:dyDescent="0.2">
      <c r="B954" s="84"/>
      <c r="C954" s="2" t="s">
        <v>147</v>
      </c>
      <c r="D954" s="45"/>
      <c r="E954" s="2">
        <v>70000</v>
      </c>
      <c r="F954" s="9">
        <f t="shared" si="27"/>
        <v>0</v>
      </c>
    </row>
    <row r="955" spans="2:7" x14ac:dyDescent="0.2">
      <c r="B955" s="83"/>
      <c r="C955" s="2" t="s">
        <v>173</v>
      </c>
      <c r="D955" s="45"/>
      <c r="E955" s="2"/>
      <c r="F955" s="9">
        <f t="shared" si="27"/>
        <v>0</v>
      </c>
    </row>
    <row r="956" spans="2:7" x14ac:dyDescent="0.2">
      <c r="B956" s="83"/>
      <c r="C956" s="2" t="s">
        <v>159</v>
      </c>
      <c r="D956" s="45"/>
      <c r="E956" s="2"/>
      <c r="F956" s="9">
        <f t="shared" si="27"/>
        <v>0</v>
      </c>
      <c r="G956" s="57"/>
    </row>
    <row r="957" spans="2:7" x14ac:dyDescent="0.2">
      <c r="B957" s="83"/>
      <c r="C957" s="2" t="s">
        <v>148</v>
      </c>
      <c r="D957" s="45"/>
      <c r="E957" s="2"/>
      <c r="F957" s="9">
        <f t="shared" si="27"/>
        <v>0</v>
      </c>
    </row>
    <row r="958" spans="2:7" x14ac:dyDescent="0.2">
      <c r="B958" s="83"/>
      <c r="C958" s="2"/>
      <c r="D958" s="45"/>
      <c r="E958" s="2"/>
      <c r="F958" s="9">
        <f t="shared" si="27"/>
        <v>0</v>
      </c>
    </row>
    <row r="959" spans="2:7" x14ac:dyDescent="0.2">
      <c r="B959" s="83"/>
      <c r="C959" s="2"/>
      <c r="D959" s="45"/>
      <c r="E959" s="2"/>
      <c r="F959" s="9">
        <f t="shared" si="27"/>
        <v>0</v>
      </c>
    </row>
    <row r="960" spans="2:7" x14ac:dyDescent="0.2">
      <c r="B960" s="83"/>
      <c r="C960" s="2"/>
      <c r="D960" s="45"/>
      <c r="E960" s="2"/>
      <c r="F960" s="9">
        <f t="shared" si="27"/>
        <v>0</v>
      </c>
    </row>
    <row r="961" spans="1:6" x14ac:dyDescent="0.2">
      <c r="B961" s="83"/>
      <c r="C961" s="2"/>
      <c r="D961" s="45"/>
      <c r="E961" s="2"/>
      <c r="F961" s="9">
        <f t="shared" si="27"/>
        <v>0</v>
      </c>
    </row>
    <row r="962" spans="1:6" x14ac:dyDescent="0.2">
      <c r="B962" s="83"/>
      <c r="C962" s="56"/>
      <c r="D962" s="45"/>
      <c r="E962" s="2"/>
      <c r="F962" s="9">
        <f t="shared" si="27"/>
        <v>0</v>
      </c>
    </row>
    <row r="963" spans="1:6" x14ac:dyDescent="0.2">
      <c r="B963" s="8"/>
      <c r="C963" s="159"/>
      <c r="D963" s="160"/>
      <c r="E963" s="161"/>
      <c r="F963" s="70"/>
    </row>
    <row r="964" spans="1:6" ht="15.75" thickBot="1" x14ac:dyDescent="0.25">
      <c r="B964" s="144" t="s">
        <v>11</v>
      </c>
      <c r="C964" s="145"/>
      <c r="D964" s="145"/>
      <c r="E964" s="146"/>
      <c r="F964" s="10">
        <f>SUM(F929:F963)</f>
        <v>0</v>
      </c>
    </row>
    <row r="965" spans="1:6" x14ac:dyDescent="0.2">
      <c r="B965" s="153" t="s">
        <v>7</v>
      </c>
      <c r="C965" s="154"/>
      <c r="D965" s="154"/>
      <c r="E965" s="155"/>
      <c r="F965" s="17"/>
    </row>
    <row r="966" spans="1:6" x14ac:dyDescent="0.2">
      <c r="B966" s="147" t="s">
        <v>8</v>
      </c>
      <c r="C966" s="148"/>
      <c r="D966" s="148"/>
      <c r="E966" s="149"/>
      <c r="F966" s="28">
        <f>F964+F965</f>
        <v>0</v>
      </c>
    </row>
    <row r="967" spans="1:6" x14ac:dyDescent="0.2">
      <c r="B967" s="147" t="s">
        <v>9</v>
      </c>
      <c r="C967" s="148"/>
      <c r="D967" s="148"/>
      <c r="E967" s="149"/>
      <c r="F967" s="39"/>
    </row>
    <row r="968" spans="1:6" ht="15.75" thickBot="1" x14ac:dyDescent="0.25">
      <c r="B968" s="150" t="s">
        <v>10</v>
      </c>
      <c r="C968" s="151"/>
      <c r="D968" s="151"/>
      <c r="E968" s="152"/>
      <c r="F968" s="12">
        <f>F967-F966</f>
        <v>0</v>
      </c>
    </row>
    <row r="969" spans="1:6" ht="15.75" thickBot="1" x14ac:dyDescent="0.25"/>
    <row r="970" spans="1:6" x14ac:dyDescent="0.2">
      <c r="A970" s="27" t="s">
        <v>46</v>
      </c>
      <c r="B970" s="6" t="s">
        <v>2</v>
      </c>
      <c r="C970" s="156">
        <f>C924</f>
        <v>0</v>
      </c>
      <c r="D970" s="157"/>
      <c r="E970" s="157"/>
      <c r="F970" s="158"/>
    </row>
    <row r="971" spans="1:6" x14ac:dyDescent="0.2">
      <c r="B971" s="7" t="s">
        <v>0</v>
      </c>
      <c r="C971" s="142" t="s">
        <v>165</v>
      </c>
      <c r="D971" s="142"/>
      <c r="E971" s="142"/>
      <c r="F971" s="143"/>
    </row>
    <row r="972" spans="1:6" x14ac:dyDescent="0.2">
      <c r="B972" s="7" t="s">
        <v>1</v>
      </c>
      <c r="C972" s="142"/>
      <c r="D972" s="142"/>
      <c r="E972" s="142"/>
      <c r="F972" s="143"/>
    </row>
    <row r="973" spans="1:6" ht="15.75" thickBot="1" x14ac:dyDescent="0.25">
      <c r="B973" s="7"/>
      <c r="C973" s="162"/>
      <c r="D973" s="162"/>
      <c r="E973" s="162"/>
      <c r="F973" s="163"/>
    </row>
    <row r="974" spans="1:6" x14ac:dyDescent="0.2">
      <c r="B974" s="91" t="s">
        <v>108</v>
      </c>
      <c r="C974" s="92" t="s">
        <v>3</v>
      </c>
      <c r="D974" s="92" t="s">
        <v>4</v>
      </c>
      <c r="E974" s="93"/>
      <c r="F974" s="94" t="s">
        <v>5</v>
      </c>
    </row>
    <row r="975" spans="1:6" x14ac:dyDescent="0.2">
      <c r="B975" s="8"/>
      <c r="C975" s="35" t="s">
        <v>67</v>
      </c>
      <c r="D975" s="60"/>
      <c r="E975" s="2">
        <v>3600</v>
      </c>
      <c r="F975" s="9">
        <f t="shared" ref="F975:F1008" si="28">(B975-D975) *E975</f>
        <v>0</v>
      </c>
    </row>
    <row r="976" spans="1:6" x14ac:dyDescent="0.2">
      <c r="B976" s="87"/>
      <c r="C976" s="1" t="s">
        <v>14</v>
      </c>
      <c r="D976" s="80"/>
      <c r="E976" s="56">
        <v>9200</v>
      </c>
      <c r="F976" s="81">
        <f t="shared" si="28"/>
        <v>0</v>
      </c>
    </row>
    <row r="977" spans="2:6" x14ac:dyDescent="0.2">
      <c r="B977" s="86">
        <v>50</v>
      </c>
      <c r="C977" s="1" t="s">
        <v>15</v>
      </c>
      <c r="D977" s="45"/>
      <c r="E977" s="2">
        <v>4700</v>
      </c>
      <c r="F977" s="9">
        <f t="shared" si="28"/>
        <v>235000</v>
      </c>
    </row>
    <row r="978" spans="2:6" x14ac:dyDescent="0.2">
      <c r="B978" s="86">
        <v>10</v>
      </c>
      <c r="C978" s="1" t="s">
        <v>62</v>
      </c>
      <c r="D978" s="45"/>
      <c r="E978" s="2">
        <v>17000</v>
      </c>
      <c r="F978" s="9">
        <f t="shared" si="28"/>
        <v>170000</v>
      </c>
    </row>
    <row r="979" spans="2:6" x14ac:dyDescent="0.2">
      <c r="B979" s="86"/>
      <c r="C979" s="1" t="s">
        <v>18</v>
      </c>
      <c r="D979" s="45"/>
      <c r="E979" s="2">
        <v>78000</v>
      </c>
      <c r="F979" s="9">
        <f t="shared" si="28"/>
        <v>0</v>
      </c>
    </row>
    <row r="980" spans="2:6" x14ac:dyDescent="0.2">
      <c r="B980" s="86"/>
      <c r="C980" s="1" t="s">
        <v>139</v>
      </c>
      <c r="D980" s="45"/>
      <c r="E980" s="2">
        <v>80000</v>
      </c>
      <c r="F980" s="9">
        <f t="shared" si="28"/>
        <v>0</v>
      </c>
    </row>
    <row r="981" spans="2:6" x14ac:dyDescent="0.2">
      <c r="B981" s="86"/>
      <c r="C981" s="1" t="s">
        <v>123</v>
      </c>
      <c r="D981" s="45"/>
      <c r="E981" s="2">
        <v>2200</v>
      </c>
      <c r="F981" s="9">
        <f t="shared" si="28"/>
        <v>0</v>
      </c>
    </row>
    <row r="982" spans="2:6" x14ac:dyDescent="0.2">
      <c r="B982" s="86"/>
      <c r="C982" s="1" t="s">
        <v>151</v>
      </c>
      <c r="D982" s="45"/>
      <c r="E982" s="2">
        <v>3120</v>
      </c>
      <c r="F982" s="9">
        <f t="shared" si="28"/>
        <v>0</v>
      </c>
    </row>
    <row r="983" spans="2:6" x14ac:dyDescent="0.2">
      <c r="B983" s="86">
        <v>50</v>
      </c>
      <c r="C983" s="2" t="s">
        <v>74</v>
      </c>
      <c r="D983" s="45"/>
      <c r="E983" s="2">
        <v>3700</v>
      </c>
      <c r="F983" s="9">
        <f t="shared" si="28"/>
        <v>185000</v>
      </c>
    </row>
    <row r="984" spans="2:6" x14ac:dyDescent="0.2">
      <c r="B984" s="86"/>
      <c r="C984" s="2" t="s">
        <v>79</v>
      </c>
      <c r="D984" s="45"/>
      <c r="E984" s="2">
        <v>4500</v>
      </c>
      <c r="F984" s="9">
        <f t="shared" si="28"/>
        <v>0</v>
      </c>
    </row>
    <row r="985" spans="2:6" x14ac:dyDescent="0.2">
      <c r="B985" s="86"/>
      <c r="C985" s="2" t="s">
        <v>145</v>
      </c>
      <c r="D985" s="45"/>
      <c r="E985" s="2">
        <v>3700</v>
      </c>
      <c r="F985" s="9">
        <f t="shared" si="28"/>
        <v>0</v>
      </c>
    </row>
    <row r="986" spans="2:6" x14ac:dyDescent="0.2">
      <c r="B986" s="86"/>
      <c r="C986" s="2" t="s">
        <v>152</v>
      </c>
      <c r="D986" s="45"/>
      <c r="E986" s="2">
        <v>58000</v>
      </c>
      <c r="F986" s="9">
        <f t="shared" si="28"/>
        <v>0</v>
      </c>
    </row>
    <row r="987" spans="2:6" x14ac:dyDescent="0.2">
      <c r="B987" s="86"/>
      <c r="C987" s="2" t="s">
        <v>166</v>
      </c>
      <c r="D987" s="45"/>
      <c r="E987" s="2"/>
      <c r="F987" s="9">
        <f t="shared" si="28"/>
        <v>0</v>
      </c>
    </row>
    <row r="988" spans="2:6" x14ac:dyDescent="0.2">
      <c r="B988" s="86">
        <v>75</v>
      </c>
      <c r="C988" s="2" t="s">
        <v>174</v>
      </c>
      <c r="D988" s="45"/>
      <c r="E988" s="2">
        <v>4500</v>
      </c>
      <c r="F988" s="9">
        <f t="shared" si="28"/>
        <v>337500</v>
      </c>
    </row>
    <row r="989" spans="2:6" x14ac:dyDescent="0.2">
      <c r="B989" s="88"/>
      <c r="C989" s="2" t="s">
        <v>175</v>
      </c>
      <c r="D989" s="45"/>
      <c r="E989" s="2"/>
      <c r="F989" s="9">
        <f t="shared" si="28"/>
        <v>0</v>
      </c>
    </row>
    <row r="990" spans="2:6" x14ac:dyDescent="0.2">
      <c r="B990" s="86"/>
      <c r="C990" s="2" t="s">
        <v>172</v>
      </c>
      <c r="D990" s="45"/>
      <c r="E990" s="2"/>
      <c r="F990" s="9">
        <f t="shared" si="28"/>
        <v>0</v>
      </c>
    </row>
    <row r="991" spans="2:6" x14ac:dyDescent="0.2">
      <c r="B991" s="86"/>
      <c r="C991" s="56" t="s">
        <v>142</v>
      </c>
      <c r="D991" s="45"/>
      <c r="E991" s="2"/>
      <c r="F991" s="9">
        <f t="shared" si="28"/>
        <v>0</v>
      </c>
    </row>
    <row r="992" spans="2:6" x14ac:dyDescent="0.2">
      <c r="B992" s="86"/>
      <c r="C992" s="2" t="s">
        <v>146</v>
      </c>
      <c r="D992" s="45"/>
      <c r="E992" s="2"/>
      <c r="F992" s="9">
        <f t="shared" si="28"/>
        <v>0</v>
      </c>
    </row>
    <row r="993" spans="2:6" x14ac:dyDescent="0.2">
      <c r="B993" s="86"/>
      <c r="C993" s="2" t="s">
        <v>121</v>
      </c>
      <c r="D993" s="45"/>
      <c r="E993" s="2"/>
      <c r="F993" s="9">
        <f t="shared" si="28"/>
        <v>0</v>
      </c>
    </row>
    <row r="994" spans="2:6" x14ac:dyDescent="0.2">
      <c r="B994" s="86"/>
      <c r="C994" s="2" t="s">
        <v>122</v>
      </c>
      <c r="D994" s="45"/>
      <c r="E994" s="2"/>
      <c r="F994" s="9">
        <f t="shared" si="28"/>
        <v>0</v>
      </c>
    </row>
    <row r="995" spans="2:6" x14ac:dyDescent="0.2">
      <c r="B995" s="86"/>
      <c r="C995" s="2" t="s">
        <v>143</v>
      </c>
      <c r="D995" s="45"/>
      <c r="E995" s="2"/>
      <c r="F995" s="9">
        <f t="shared" si="28"/>
        <v>0</v>
      </c>
    </row>
    <row r="996" spans="2:6" x14ac:dyDescent="0.2">
      <c r="B996" s="86"/>
      <c r="C996" s="2" t="s">
        <v>126</v>
      </c>
      <c r="D996" s="45"/>
      <c r="E996" s="2"/>
      <c r="F996" s="9">
        <f t="shared" si="28"/>
        <v>0</v>
      </c>
    </row>
    <row r="997" spans="2:6" x14ac:dyDescent="0.2">
      <c r="B997" s="86"/>
      <c r="C997" s="2" t="s">
        <v>153</v>
      </c>
      <c r="D997" s="45"/>
      <c r="E997" s="2">
        <v>225000</v>
      </c>
      <c r="F997" s="9">
        <f t="shared" si="28"/>
        <v>0</v>
      </c>
    </row>
    <row r="998" spans="2:6" x14ac:dyDescent="0.2">
      <c r="B998" s="86">
        <v>100</v>
      </c>
      <c r="C998" s="2" t="s">
        <v>184</v>
      </c>
      <c r="D998" s="45"/>
      <c r="E998" s="2">
        <v>3500</v>
      </c>
      <c r="F998" s="9">
        <f t="shared" si="28"/>
        <v>350000</v>
      </c>
    </row>
    <row r="999" spans="2:6" x14ac:dyDescent="0.2">
      <c r="B999" s="86"/>
      <c r="C999" s="2" t="s">
        <v>191</v>
      </c>
      <c r="D999" s="45"/>
      <c r="E999" s="2">
        <v>4700</v>
      </c>
      <c r="F999" s="9">
        <f t="shared" si="28"/>
        <v>0</v>
      </c>
    </row>
    <row r="1000" spans="2:6" x14ac:dyDescent="0.2">
      <c r="B1000" s="87">
        <v>20</v>
      </c>
      <c r="C1000" s="2" t="s">
        <v>147</v>
      </c>
      <c r="D1000" s="45"/>
      <c r="E1000" s="2">
        <v>7000</v>
      </c>
      <c r="F1000" s="9">
        <f t="shared" si="28"/>
        <v>140000</v>
      </c>
    </row>
    <row r="1001" spans="2:6" x14ac:dyDescent="0.2">
      <c r="B1001" s="86"/>
      <c r="C1001" s="2" t="s">
        <v>173</v>
      </c>
      <c r="D1001" s="45"/>
      <c r="E1001" s="2"/>
      <c r="F1001" s="9">
        <f t="shared" si="28"/>
        <v>0</v>
      </c>
    </row>
    <row r="1002" spans="2:6" x14ac:dyDescent="0.2">
      <c r="B1002" s="86"/>
      <c r="C1002" s="2" t="s">
        <v>159</v>
      </c>
      <c r="D1002" s="45"/>
      <c r="E1002" s="2"/>
      <c r="F1002" s="9">
        <f t="shared" si="28"/>
        <v>0</v>
      </c>
    </row>
    <row r="1003" spans="2:6" x14ac:dyDescent="0.2">
      <c r="B1003" s="86"/>
      <c r="C1003" s="2" t="s">
        <v>148</v>
      </c>
      <c r="D1003" s="45"/>
      <c r="E1003" s="2"/>
      <c r="F1003" s="9">
        <f t="shared" si="28"/>
        <v>0</v>
      </c>
    </row>
    <row r="1004" spans="2:6" x14ac:dyDescent="0.2">
      <c r="B1004" s="86"/>
      <c r="C1004" s="2"/>
      <c r="D1004" s="45"/>
      <c r="E1004" s="2"/>
      <c r="F1004" s="9">
        <f t="shared" si="28"/>
        <v>0</v>
      </c>
    </row>
    <row r="1005" spans="2:6" x14ac:dyDescent="0.2">
      <c r="B1005" s="86"/>
      <c r="C1005" s="2"/>
      <c r="D1005" s="45"/>
      <c r="E1005" s="2"/>
      <c r="F1005" s="9">
        <f t="shared" si="28"/>
        <v>0</v>
      </c>
    </row>
    <row r="1006" spans="2:6" x14ac:dyDescent="0.2">
      <c r="B1006" s="86"/>
      <c r="C1006" s="2"/>
      <c r="D1006" s="45"/>
      <c r="E1006" s="2"/>
      <c r="F1006" s="9">
        <f t="shared" si="28"/>
        <v>0</v>
      </c>
    </row>
    <row r="1007" spans="2:6" x14ac:dyDescent="0.2">
      <c r="B1007" s="86"/>
      <c r="C1007" s="2"/>
      <c r="D1007" s="45"/>
      <c r="E1007" s="2"/>
      <c r="F1007" s="9">
        <f t="shared" si="28"/>
        <v>0</v>
      </c>
    </row>
    <row r="1008" spans="2:6" x14ac:dyDescent="0.2">
      <c r="B1008" s="86"/>
      <c r="C1008" s="56"/>
      <c r="D1008" s="45"/>
      <c r="E1008" s="2"/>
      <c r="F1008" s="9">
        <f t="shared" si="28"/>
        <v>0</v>
      </c>
    </row>
    <row r="1009" spans="1:6" x14ac:dyDescent="0.2">
      <c r="B1009" s="8"/>
      <c r="C1009" s="159"/>
      <c r="D1009" s="160"/>
      <c r="E1009" s="161"/>
      <c r="F1009" s="70"/>
    </row>
    <row r="1010" spans="1:6" ht="15.75" thickBot="1" x14ac:dyDescent="0.25">
      <c r="B1010" s="144" t="s">
        <v>11</v>
      </c>
      <c r="C1010" s="145"/>
      <c r="D1010" s="145"/>
      <c r="E1010" s="146"/>
      <c r="F1010" s="10">
        <f>SUM(F975:F1009)</f>
        <v>1417500</v>
      </c>
    </row>
    <row r="1011" spans="1:6" x14ac:dyDescent="0.2">
      <c r="B1011" s="153" t="s">
        <v>7</v>
      </c>
      <c r="C1011" s="154"/>
      <c r="D1011" s="154"/>
      <c r="E1011" s="155"/>
      <c r="F1011" s="17"/>
    </row>
    <row r="1012" spans="1:6" x14ac:dyDescent="0.2">
      <c r="B1012" s="147" t="s">
        <v>8</v>
      </c>
      <c r="C1012" s="148"/>
      <c r="D1012" s="148"/>
      <c r="E1012" s="149"/>
      <c r="F1012" s="28">
        <f>F1010+F1011</f>
        <v>1417500</v>
      </c>
    </row>
    <row r="1013" spans="1:6" x14ac:dyDescent="0.2">
      <c r="B1013" s="147" t="s">
        <v>9</v>
      </c>
      <c r="C1013" s="148"/>
      <c r="D1013" s="148"/>
      <c r="E1013" s="149"/>
      <c r="F1013" s="39">
        <v>1080000</v>
      </c>
    </row>
    <row r="1014" spans="1:6" ht="15.75" thickBot="1" x14ac:dyDescent="0.25">
      <c r="B1014" s="150" t="s">
        <v>10</v>
      </c>
      <c r="C1014" s="151"/>
      <c r="D1014" s="151"/>
      <c r="E1014" s="152"/>
      <c r="F1014" s="12">
        <f>F1013-F1012</f>
        <v>-337500</v>
      </c>
    </row>
    <row r="1015" spans="1:6" ht="15.75" thickBot="1" x14ac:dyDescent="0.25"/>
    <row r="1016" spans="1:6" x14ac:dyDescent="0.2">
      <c r="A1016" s="27" t="s">
        <v>47</v>
      </c>
      <c r="B1016" s="6" t="s">
        <v>2</v>
      </c>
      <c r="C1016" s="156">
        <f>C970</f>
        <v>0</v>
      </c>
      <c r="D1016" s="157"/>
      <c r="E1016" s="157"/>
      <c r="F1016" s="158"/>
    </row>
    <row r="1017" spans="1:6" x14ac:dyDescent="0.2">
      <c r="B1017" s="7" t="s">
        <v>0</v>
      </c>
      <c r="C1017" s="142" t="s">
        <v>193</v>
      </c>
      <c r="D1017" s="142"/>
      <c r="E1017" s="142"/>
      <c r="F1017" s="143"/>
    </row>
    <row r="1018" spans="1:6" x14ac:dyDescent="0.2">
      <c r="B1018" s="7" t="s">
        <v>1</v>
      </c>
      <c r="C1018" s="142"/>
      <c r="D1018" s="142"/>
      <c r="E1018" s="142"/>
      <c r="F1018" s="143"/>
    </row>
    <row r="1019" spans="1:6" ht="15.75" thickBot="1" x14ac:dyDescent="0.25">
      <c r="B1019" s="7"/>
      <c r="C1019" s="162"/>
      <c r="D1019" s="162"/>
      <c r="E1019" s="162"/>
      <c r="F1019" s="163"/>
    </row>
    <row r="1020" spans="1:6" x14ac:dyDescent="0.2">
      <c r="B1020" s="91" t="s">
        <v>108</v>
      </c>
      <c r="C1020" s="92" t="s">
        <v>3</v>
      </c>
      <c r="D1020" s="92" t="s">
        <v>4</v>
      </c>
      <c r="E1020" s="93"/>
      <c r="F1020" s="94" t="s">
        <v>5</v>
      </c>
    </row>
    <row r="1021" spans="1:6" x14ac:dyDescent="0.2">
      <c r="B1021" s="8"/>
      <c r="C1021" s="35" t="s">
        <v>67</v>
      </c>
      <c r="D1021" s="60"/>
      <c r="E1021" s="2">
        <v>3750</v>
      </c>
      <c r="F1021" s="9">
        <f t="shared" ref="F1021:F1054" si="29">(B1021-D1021) *E1021</f>
        <v>0</v>
      </c>
    </row>
    <row r="1022" spans="1:6" x14ac:dyDescent="0.2">
      <c r="B1022" s="87"/>
      <c r="C1022" s="1" t="s">
        <v>14</v>
      </c>
      <c r="D1022" s="80"/>
      <c r="E1022" s="56">
        <v>9250</v>
      </c>
      <c r="F1022" s="81">
        <f t="shared" si="29"/>
        <v>0</v>
      </c>
    </row>
    <row r="1023" spans="1:6" x14ac:dyDescent="0.2">
      <c r="B1023" s="86"/>
      <c r="C1023" s="1" t="s">
        <v>15</v>
      </c>
      <c r="D1023" s="45"/>
      <c r="E1023" s="2">
        <v>4750</v>
      </c>
      <c r="F1023" s="9">
        <f t="shared" si="29"/>
        <v>0</v>
      </c>
    </row>
    <row r="1024" spans="1:6" x14ac:dyDescent="0.2">
      <c r="B1024" s="86"/>
      <c r="C1024" s="1" t="s">
        <v>62</v>
      </c>
      <c r="D1024" s="45"/>
      <c r="E1024" s="2">
        <v>17000</v>
      </c>
      <c r="F1024" s="9">
        <f t="shared" si="29"/>
        <v>0</v>
      </c>
    </row>
    <row r="1025" spans="2:6" x14ac:dyDescent="0.2">
      <c r="B1025" s="86"/>
      <c r="C1025" s="1" t="s">
        <v>18</v>
      </c>
      <c r="D1025" s="45"/>
      <c r="E1025" s="2">
        <v>73000</v>
      </c>
      <c r="F1025" s="9">
        <f t="shared" si="29"/>
        <v>0</v>
      </c>
    </row>
    <row r="1026" spans="2:6" x14ac:dyDescent="0.2">
      <c r="B1026" s="86"/>
      <c r="C1026" s="1" t="s">
        <v>139</v>
      </c>
      <c r="D1026" s="45"/>
      <c r="E1026" s="2">
        <v>80000</v>
      </c>
      <c r="F1026" s="9">
        <f t="shared" si="29"/>
        <v>0</v>
      </c>
    </row>
    <row r="1027" spans="2:6" x14ac:dyDescent="0.2">
      <c r="B1027" s="86"/>
      <c r="C1027" s="1" t="s">
        <v>123</v>
      </c>
      <c r="D1027" s="45"/>
      <c r="E1027" s="2">
        <v>2200</v>
      </c>
      <c r="F1027" s="9">
        <f t="shared" si="29"/>
        <v>0</v>
      </c>
    </row>
    <row r="1028" spans="2:6" x14ac:dyDescent="0.2">
      <c r="B1028" s="86"/>
      <c r="C1028" s="1" t="s">
        <v>151</v>
      </c>
      <c r="D1028" s="45"/>
      <c r="E1028" s="2">
        <v>3120</v>
      </c>
      <c r="F1028" s="9">
        <f t="shared" si="29"/>
        <v>0</v>
      </c>
    </row>
    <row r="1029" spans="2:6" x14ac:dyDescent="0.2">
      <c r="B1029" s="86"/>
      <c r="C1029" s="2" t="s">
        <v>74</v>
      </c>
      <c r="D1029" s="45"/>
      <c r="E1029" s="2">
        <v>3700</v>
      </c>
      <c r="F1029" s="9">
        <f t="shared" si="29"/>
        <v>0</v>
      </c>
    </row>
    <row r="1030" spans="2:6" x14ac:dyDescent="0.2">
      <c r="B1030" s="86"/>
      <c r="C1030" s="2" t="s">
        <v>79</v>
      </c>
      <c r="D1030" s="45"/>
      <c r="E1030" s="2">
        <v>4500</v>
      </c>
      <c r="F1030" s="9">
        <f t="shared" si="29"/>
        <v>0</v>
      </c>
    </row>
    <row r="1031" spans="2:6" x14ac:dyDescent="0.2">
      <c r="B1031" s="86"/>
      <c r="C1031" s="2" t="s">
        <v>145</v>
      </c>
      <c r="D1031" s="45"/>
      <c r="E1031" s="2">
        <v>3700</v>
      </c>
      <c r="F1031" s="9">
        <f t="shared" si="29"/>
        <v>0</v>
      </c>
    </row>
    <row r="1032" spans="2:6" x14ac:dyDescent="0.2">
      <c r="B1032" s="86"/>
      <c r="C1032" s="2" t="s">
        <v>152</v>
      </c>
      <c r="D1032" s="45"/>
      <c r="E1032" s="2">
        <v>54000</v>
      </c>
      <c r="F1032" s="9">
        <f t="shared" si="29"/>
        <v>0</v>
      </c>
    </row>
    <row r="1033" spans="2:6" x14ac:dyDescent="0.2">
      <c r="B1033" s="86"/>
      <c r="C1033" s="2" t="s">
        <v>166</v>
      </c>
      <c r="D1033" s="45"/>
      <c r="E1033" s="2"/>
      <c r="F1033" s="9">
        <f t="shared" si="29"/>
        <v>0</v>
      </c>
    </row>
    <row r="1034" spans="2:6" x14ac:dyDescent="0.2">
      <c r="B1034" s="86"/>
      <c r="C1034" s="2" t="s">
        <v>174</v>
      </c>
      <c r="D1034" s="45"/>
      <c r="E1034" s="2">
        <v>4700</v>
      </c>
      <c r="F1034" s="9">
        <f t="shared" si="29"/>
        <v>0</v>
      </c>
    </row>
    <row r="1035" spans="2:6" x14ac:dyDescent="0.2">
      <c r="B1035" s="88"/>
      <c r="C1035" s="2" t="s">
        <v>175</v>
      </c>
      <c r="D1035" s="45"/>
      <c r="E1035" s="2">
        <v>9300</v>
      </c>
      <c r="F1035" s="9">
        <f t="shared" si="29"/>
        <v>0</v>
      </c>
    </row>
    <row r="1036" spans="2:6" x14ac:dyDescent="0.2">
      <c r="B1036" s="86"/>
      <c r="C1036" s="2" t="s">
        <v>172</v>
      </c>
      <c r="D1036" s="45"/>
      <c r="E1036" s="2"/>
      <c r="F1036" s="9">
        <f t="shared" si="29"/>
        <v>0</v>
      </c>
    </row>
    <row r="1037" spans="2:6" x14ac:dyDescent="0.2">
      <c r="B1037" s="86"/>
      <c r="C1037" s="56" t="s">
        <v>142</v>
      </c>
      <c r="D1037" s="45"/>
      <c r="E1037" s="2"/>
      <c r="F1037" s="9">
        <f t="shared" si="29"/>
        <v>0</v>
      </c>
    </row>
    <row r="1038" spans="2:6" x14ac:dyDescent="0.2">
      <c r="B1038" s="86"/>
      <c r="C1038" s="2" t="s">
        <v>146</v>
      </c>
      <c r="D1038" s="45"/>
      <c r="E1038" s="2">
        <v>9000</v>
      </c>
      <c r="F1038" s="9">
        <f t="shared" si="29"/>
        <v>0</v>
      </c>
    </row>
    <row r="1039" spans="2:6" x14ac:dyDescent="0.2">
      <c r="B1039" s="86"/>
      <c r="C1039" s="2" t="s">
        <v>121</v>
      </c>
      <c r="D1039" s="45"/>
      <c r="E1039" s="2"/>
      <c r="F1039" s="9">
        <f t="shared" si="29"/>
        <v>0</v>
      </c>
    </row>
    <row r="1040" spans="2:6" x14ac:dyDescent="0.2">
      <c r="B1040" s="86"/>
      <c r="C1040" s="2" t="s">
        <v>122</v>
      </c>
      <c r="D1040" s="45"/>
      <c r="E1040" s="2"/>
      <c r="F1040" s="9">
        <f t="shared" si="29"/>
        <v>0</v>
      </c>
    </row>
    <row r="1041" spans="2:6" x14ac:dyDescent="0.2">
      <c r="B1041" s="86"/>
      <c r="C1041" s="2" t="s">
        <v>143</v>
      </c>
      <c r="D1041" s="45"/>
      <c r="E1041" s="2"/>
      <c r="F1041" s="9">
        <f t="shared" si="29"/>
        <v>0</v>
      </c>
    </row>
    <row r="1042" spans="2:6" x14ac:dyDescent="0.2">
      <c r="B1042" s="86"/>
      <c r="C1042" s="2" t="s">
        <v>126</v>
      </c>
      <c r="D1042" s="45"/>
      <c r="E1042" s="2"/>
      <c r="F1042" s="9">
        <f t="shared" si="29"/>
        <v>0</v>
      </c>
    </row>
    <row r="1043" spans="2:6" x14ac:dyDescent="0.2">
      <c r="B1043" s="86"/>
      <c r="C1043" s="2" t="s">
        <v>153</v>
      </c>
      <c r="D1043" s="45"/>
      <c r="E1043" s="2"/>
      <c r="F1043" s="9">
        <f t="shared" si="29"/>
        <v>0</v>
      </c>
    </row>
    <row r="1044" spans="2:6" x14ac:dyDescent="0.2">
      <c r="B1044" s="86"/>
      <c r="C1044" s="2" t="s">
        <v>141</v>
      </c>
      <c r="D1044" s="45"/>
      <c r="E1044" s="2">
        <v>21500</v>
      </c>
      <c r="F1044" s="9">
        <f t="shared" si="29"/>
        <v>0</v>
      </c>
    </row>
    <row r="1045" spans="2:6" x14ac:dyDescent="0.2">
      <c r="B1045" s="86"/>
      <c r="C1045" s="2" t="s">
        <v>144</v>
      </c>
      <c r="D1045" s="45"/>
      <c r="E1045" s="2">
        <v>22500</v>
      </c>
      <c r="F1045" s="9">
        <f t="shared" si="29"/>
        <v>0</v>
      </c>
    </row>
    <row r="1046" spans="2:6" x14ac:dyDescent="0.2">
      <c r="B1046" s="87"/>
      <c r="C1046" s="2" t="s">
        <v>147</v>
      </c>
      <c r="D1046" s="45"/>
      <c r="E1046" s="2">
        <v>6000</v>
      </c>
      <c r="F1046" s="9">
        <f t="shared" si="29"/>
        <v>0</v>
      </c>
    </row>
    <row r="1047" spans="2:6" x14ac:dyDescent="0.2">
      <c r="B1047" s="86"/>
      <c r="C1047" s="2" t="s">
        <v>173</v>
      </c>
      <c r="D1047" s="45"/>
      <c r="E1047" s="2"/>
      <c r="F1047" s="9">
        <f t="shared" si="29"/>
        <v>0</v>
      </c>
    </row>
    <row r="1048" spans="2:6" x14ac:dyDescent="0.2">
      <c r="B1048" s="86"/>
      <c r="C1048" s="2" t="s">
        <v>159</v>
      </c>
      <c r="D1048" s="45"/>
      <c r="E1048" s="2"/>
      <c r="F1048" s="9">
        <f t="shared" si="29"/>
        <v>0</v>
      </c>
    </row>
    <row r="1049" spans="2:6" x14ac:dyDescent="0.2">
      <c r="B1049" s="86"/>
      <c r="C1049" s="2" t="s">
        <v>148</v>
      </c>
      <c r="D1049" s="45"/>
      <c r="E1049" s="2"/>
      <c r="F1049" s="9">
        <f t="shared" si="29"/>
        <v>0</v>
      </c>
    </row>
    <row r="1050" spans="2:6" x14ac:dyDescent="0.2">
      <c r="B1050" s="86"/>
      <c r="C1050" s="2"/>
      <c r="D1050" s="45"/>
      <c r="E1050" s="2"/>
      <c r="F1050" s="9">
        <f t="shared" si="29"/>
        <v>0</v>
      </c>
    </row>
    <row r="1051" spans="2:6" x14ac:dyDescent="0.2">
      <c r="B1051" s="86"/>
      <c r="C1051" s="2"/>
      <c r="D1051" s="45"/>
      <c r="E1051" s="2"/>
      <c r="F1051" s="9">
        <f t="shared" si="29"/>
        <v>0</v>
      </c>
    </row>
    <row r="1052" spans="2:6" x14ac:dyDescent="0.2">
      <c r="B1052" s="86"/>
      <c r="C1052" s="2"/>
      <c r="D1052" s="45"/>
      <c r="E1052" s="2"/>
      <c r="F1052" s="9">
        <f t="shared" si="29"/>
        <v>0</v>
      </c>
    </row>
    <row r="1053" spans="2:6" x14ac:dyDescent="0.2">
      <c r="B1053" s="86"/>
      <c r="C1053" s="2"/>
      <c r="D1053" s="45"/>
      <c r="E1053" s="2"/>
      <c r="F1053" s="9">
        <f t="shared" si="29"/>
        <v>0</v>
      </c>
    </row>
    <row r="1054" spans="2:6" x14ac:dyDescent="0.2">
      <c r="B1054" s="86"/>
      <c r="C1054" s="56"/>
      <c r="D1054" s="45"/>
      <c r="E1054" s="2"/>
      <c r="F1054" s="9">
        <f t="shared" si="29"/>
        <v>0</v>
      </c>
    </row>
    <row r="1055" spans="2:6" x14ac:dyDescent="0.2">
      <c r="B1055" s="8"/>
      <c r="C1055" s="159"/>
      <c r="D1055" s="160"/>
      <c r="E1055" s="161"/>
      <c r="F1055" s="70"/>
    </row>
    <row r="1056" spans="2:6" ht="15.75" thickBot="1" x14ac:dyDescent="0.25">
      <c r="B1056" s="144" t="s">
        <v>11</v>
      </c>
      <c r="C1056" s="145"/>
      <c r="D1056" s="145"/>
      <c r="E1056" s="146"/>
      <c r="F1056" s="10">
        <f>SUM(F1021:F1055)</f>
        <v>0</v>
      </c>
    </row>
    <row r="1057" spans="1:6" x14ac:dyDescent="0.2">
      <c r="B1057" s="153" t="s">
        <v>7</v>
      </c>
      <c r="C1057" s="154"/>
      <c r="D1057" s="154"/>
      <c r="E1057" s="155"/>
      <c r="F1057" s="17"/>
    </row>
    <row r="1058" spans="1:6" x14ac:dyDescent="0.2">
      <c r="B1058" s="147" t="s">
        <v>8</v>
      </c>
      <c r="C1058" s="148"/>
      <c r="D1058" s="148"/>
      <c r="E1058" s="149"/>
      <c r="F1058" s="28">
        <f>F1056+F1057</f>
        <v>0</v>
      </c>
    </row>
    <row r="1059" spans="1:6" x14ac:dyDescent="0.2">
      <c r="B1059" s="147" t="s">
        <v>9</v>
      </c>
      <c r="C1059" s="148"/>
      <c r="D1059" s="148"/>
      <c r="E1059" s="149"/>
      <c r="F1059" s="39"/>
    </row>
    <row r="1060" spans="1:6" ht="15.75" thickBot="1" x14ac:dyDescent="0.25">
      <c r="B1060" s="150" t="s">
        <v>10</v>
      </c>
      <c r="C1060" s="151"/>
      <c r="D1060" s="151"/>
      <c r="E1060" s="152"/>
      <c r="F1060" s="12">
        <f>F1059-F1058</f>
        <v>0</v>
      </c>
    </row>
    <row r="1061" spans="1:6" ht="15.75" thickBot="1" x14ac:dyDescent="0.25"/>
    <row r="1062" spans="1:6" x14ac:dyDescent="0.2">
      <c r="A1062" s="27" t="s">
        <v>48</v>
      </c>
      <c r="B1062" s="6" t="s">
        <v>2</v>
      </c>
      <c r="C1062" s="156">
        <f>C1016</f>
        <v>0</v>
      </c>
      <c r="D1062" s="157"/>
      <c r="E1062" s="157"/>
      <c r="F1062" s="158"/>
    </row>
    <row r="1063" spans="1:6" x14ac:dyDescent="0.2">
      <c r="B1063" s="7" t="s">
        <v>0</v>
      </c>
      <c r="C1063" s="142" t="s">
        <v>192</v>
      </c>
      <c r="D1063" s="142"/>
      <c r="E1063" s="142"/>
      <c r="F1063" s="143"/>
    </row>
    <row r="1064" spans="1:6" x14ac:dyDescent="0.2">
      <c r="B1064" s="7" t="s">
        <v>1</v>
      </c>
      <c r="C1064" s="142"/>
      <c r="D1064" s="142"/>
      <c r="E1064" s="142"/>
      <c r="F1064" s="143"/>
    </row>
    <row r="1065" spans="1:6" ht="15.75" thickBot="1" x14ac:dyDescent="0.25">
      <c r="B1065" s="7"/>
      <c r="C1065" s="162"/>
      <c r="D1065" s="162"/>
      <c r="E1065" s="162"/>
      <c r="F1065" s="163"/>
    </row>
    <row r="1066" spans="1:6" x14ac:dyDescent="0.2">
      <c r="B1066" s="91" t="s">
        <v>108</v>
      </c>
      <c r="C1066" s="92" t="s">
        <v>3</v>
      </c>
      <c r="D1066" s="92" t="s">
        <v>4</v>
      </c>
      <c r="E1066" s="93"/>
      <c r="F1066" s="94" t="s">
        <v>5</v>
      </c>
    </row>
    <row r="1067" spans="1:6" x14ac:dyDescent="0.2">
      <c r="B1067" s="8"/>
      <c r="C1067" s="35" t="s">
        <v>67</v>
      </c>
      <c r="D1067" s="60"/>
      <c r="E1067" s="2">
        <v>3750</v>
      </c>
      <c r="F1067" s="9">
        <f t="shared" ref="F1067:F1100" si="30">(B1067-D1067) *E1067</f>
        <v>0</v>
      </c>
    </row>
    <row r="1068" spans="1:6" x14ac:dyDescent="0.2">
      <c r="B1068" s="87"/>
      <c r="C1068" s="1" t="s">
        <v>14</v>
      </c>
      <c r="D1068" s="80"/>
      <c r="E1068" s="56">
        <v>9250</v>
      </c>
      <c r="F1068" s="81">
        <f t="shared" si="30"/>
        <v>0</v>
      </c>
    </row>
    <row r="1069" spans="1:6" x14ac:dyDescent="0.2">
      <c r="B1069" s="86"/>
      <c r="C1069" s="1" t="s">
        <v>15</v>
      </c>
      <c r="D1069" s="45"/>
      <c r="E1069" s="2">
        <v>4750</v>
      </c>
      <c r="F1069" s="9">
        <f t="shared" si="30"/>
        <v>0</v>
      </c>
    </row>
    <row r="1070" spans="1:6" x14ac:dyDescent="0.2">
      <c r="B1070" s="86"/>
      <c r="C1070" s="1" t="s">
        <v>62</v>
      </c>
      <c r="D1070" s="45"/>
      <c r="E1070" s="2">
        <v>17000</v>
      </c>
      <c r="F1070" s="9">
        <f t="shared" si="30"/>
        <v>0</v>
      </c>
    </row>
    <row r="1071" spans="1:6" x14ac:dyDescent="0.2">
      <c r="B1071" s="86"/>
      <c r="C1071" s="1" t="s">
        <v>18</v>
      </c>
      <c r="D1071" s="45"/>
      <c r="E1071" s="2">
        <v>73000</v>
      </c>
      <c r="F1071" s="9">
        <f t="shared" si="30"/>
        <v>0</v>
      </c>
    </row>
    <row r="1072" spans="1:6" x14ac:dyDescent="0.2">
      <c r="B1072" s="86"/>
      <c r="C1072" s="1" t="s">
        <v>139</v>
      </c>
      <c r="D1072" s="45"/>
      <c r="E1072" s="2">
        <v>80000</v>
      </c>
      <c r="F1072" s="9">
        <f t="shared" si="30"/>
        <v>0</v>
      </c>
    </row>
    <row r="1073" spans="2:6" x14ac:dyDescent="0.2">
      <c r="B1073" s="86"/>
      <c r="C1073" s="1" t="s">
        <v>123</v>
      </c>
      <c r="D1073" s="45"/>
      <c r="E1073" s="2">
        <v>2200</v>
      </c>
      <c r="F1073" s="9">
        <f t="shared" si="30"/>
        <v>0</v>
      </c>
    </row>
    <row r="1074" spans="2:6" x14ac:dyDescent="0.2">
      <c r="B1074" s="86"/>
      <c r="C1074" s="1" t="s">
        <v>151</v>
      </c>
      <c r="D1074" s="45"/>
      <c r="E1074" s="2">
        <v>3120</v>
      </c>
      <c r="F1074" s="9">
        <f t="shared" si="30"/>
        <v>0</v>
      </c>
    </row>
    <row r="1075" spans="2:6" x14ac:dyDescent="0.2">
      <c r="B1075" s="86"/>
      <c r="C1075" s="2" t="s">
        <v>74</v>
      </c>
      <c r="D1075" s="45"/>
      <c r="E1075" s="2">
        <v>3700</v>
      </c>
      <c r="F1075" s="9">
        <f t="shared" si="30"/>
        <v>0</v>
      </c>
    </row>
    <row r="1076" spans="2:6" x14ac:dyDescent="0.2">
      <c r="B1076" s="86"/>
      <c r="C1076" s="2" t="s">
        <v>79</v>
      </c>
      <c r="D1076" s="45"/>
      <c r="E1076" s="2">
        <v>4500</v>
      </c>
      <c r="F1076" s="9">
        <f t="shared" si="30"/>
        <v>0</v>
      </c>
    </row>
    <row r="1077" spans="2:6" x14ac:dyDescent="0.2">
      <c r="B1077" s="86"/>
      <c r="C1077" s="2" t="s">
        <v>145</v>
      </c>
      <c r="D1077" s="45"/>
      <c r="E1077" s="2">
        <v>3700</v>
      </c>
      <c r="F1077" s="9">
        <f t="shared" si="30"/>
        <v>0</v>
      </c>
    </row>
    <row r="1078" spans="2:6" x14ac:dyDescent="0.2">
      <c r="B1078" s="86"/>
      <c r="C1078" s="2" t="s">
        <v>152</v>
      </c>
      <c r="D1078" s="45"/>
      <c r="E1078" s="2">
        <v>54000</v>
      </c>
      <c r="F1078" s="9">
        <f t="shared" si="30"/>
        <v>0</v>
      </c>
    </row>
    <row r="1079" spans="2:6" x14ac:dyDescent="0.2">
      <c r="B1079" s="86"/>
      <c r="C1079" s="2" t="s">
        <v>166</v>
      </c>
      <c r="D1079" s="45"/>
      <c r="E1079" s="2"/>
      <c r="F1079" s="9">
        <f t="shared" si="30"/>
        <v>0</v>
      </c>
    </row>
    <row r="1080" spans="2:6" x14ac:dyDescent="0.2">
      <c r="B1080" s="86"/>
      <c r="C1080" s="2" t="s">
        <v>174</v>
      </c>
      <c r="D1080" s="45"/>
      <c r="E1080" s="2">
        <v>3600</v>
      </c>
      <c r="F1080" s="9">
        <f t="shared" si="30"/>
        <v>0</v>
      </c>
    </row>
    <row r="1081" spans="2:6" x14ac:dyDescent="0.2">
      <c r="B1081" s="88"/>
      <c r="C1081" s="2" t="s">
        <v>175</v>
      </c>
      <c r="D1081" s="45"/>
      <c r="E1081" s="2"/>
      <c r="F1081" s="9">
        <f t="shared" si="30"/>
        <v>0</v>
      </c>
    </row>
    <row r="1082" spans="2:6" x14ac:dyDescent="0.2">
      <c r="B1082" s="86"/>
      <c r="C1082" s="2" t="s">
        <v>172</v>
      </c>
      <c r="D1082" s="45"/>
      <c r="E1082" s="2"/>
      <c r="F1082" s="9">
        <f t="shared" si="30"/>
        <v>0</v>
      </c>
    </row>
    <row r="1083" spans="2:6" x14ac:dyDescent="0.2">
      <c r="B1083" s="86"/>
      <c r="C1083" s="56" t="s">
        <v>142</v>
      </c>
      <c r="D1083" s="45"/>
      <c r="E1083" s="2"/>
      <c r="F1083" s="9">
        <f t="shared" si="30"/>
        <v>0</v>
      </c>
    </row>
    <row r="1084" spans="2:6" x14ac:dyDescent="0.2">
      <c r="B1084" s="86"/>
      <c r="C1084" s="2" t="s">
        <v>146</v>
      </c>
      <c r="D1084" s="45"/>
      <c r="E1084" s="2"/>
      <c r="F1084" s="9">
        <f t="shared" si="30"/>
        <v>0</v>
      </c>
    </row>
    <row r="1085" spans="2:6" x14ac:dyDescent="0.2">
      <c r="B1085" s="86"/>
      <c r="C1085" s="2" t="s">
        <v>121</v>
      </c>
      <c r="D1085" s="45"/>
      <c r="E1085" s="2"/>
      <c r="F1085" s="9">
        <f t="shared" si="30"/>
        <v>0</v>
      </c>
    </row>
    <row r="1086" spans="2:6" x14ac:dyDescent="0.2">
      <c r="B1086" s="86"/>
      <c r="C1086" s="2" t="s">
        <v>122</v>
      </c>
      <c r="D1086" s="45"/>
      <c r="E1086" s="2"/>
      <c r="F1086" s="9">
        <f t="shared" si="30"/>
        <v>0</v>
      </c>
    </row>
    <row r="1087" spans="2:6" x14ac:dyDescent="0.2">
      <c r="B1087" s="86"/>
      <c r="C1087" s="2" t="s">
        <v>143</v>
      </c>
      <c r="D1087" s="45"/>
      <c r="E1087" s="2"/>
      <c r="F1087" s="9">
        <f t="shared" si="30"/>
        <v>0</v>
      </c>
    </row>
    <row r="1088" spans="2:6" x14ac:dyDescent="0.2">
      <c r="B1088" s="86"/>
      <c r="C1088" s="2" t="s">
        <v>126</v>
      </c>
      <c r="D1088" s="45"/>
      <c r="E1088" s="2"/>
      <c r="F1088" s="9">
        <f t="shared" si="30"/>
        <v>0</v>
      </c>
    </row>
    <row r="1089" spans="2:6" x14ac:dyDescent="0.2">
      <c r="B1089" s="86"/>
      <c r="C1089" s="2" t="s">
        <v>153</v>
      </c>
      <c r="D1089" s="45"/>
      <c r="E1089" s="2"/>
      <c r="F1089" s="9">
        <f t="shared" si="30"/>
        <v>0</v>
      </c>
    </row>
    <row r="1090" spans="2:6" x14ac:dyDescent="0.2">
      <c r="B1090" s="86"/>
      <c r="C1090" s="2" t="s">
        <v>141</v>
      </c>
      <c r="D1090" s="45"/>
      <c r="E1090" s="2"/>
      <c r="F1090" s="9">
        <f t="shared" si="30"/>
        <v>0</v>
      </c>
    </row>
    <row r="1091" spans="2:6" x14ac:dyDescent="0.2">
      <c r="B1091" s="86"/>
      <c r="C1091" s="2" t="s">
        <v>144</v>
      </c>
      <c r="D1091" s="45"/>
      <c r="E1091" s="2"/>
      <c r="F1091" s="9">
        <f t="shared" si="30"/>
        <v>0</v>
      </c>
    </row>
    <row r="1092" spans="2:6" x14ac:dyDescent="0.2">
      <c r="B1092" s="87"/>
      <c r="C1092" s="2" t="s">
        <v>147</v>
      </c>
      <c r="D1092" s="45"/>
      <c r="E1092" s="2"/>
      <c r="F1092" s="9">
        <f t="shared" si="30"/>
        <v>0</v>
      </c>
    </row>
    <row r="1093" spans="2:6" x14ac:dyDescent="0.2">
      <c r="B1093" s="86"/>
      <c r="C1093" s="2" t="s">
        <v>173</v>
      </c>
      <c r="D1093" s="45"/>
      <c r="E1093" s="2"/>
      <c r="F1093" s="9">
        <f t="shared" si="30"/>
        <v>0</v>
      </c>
    </row>
    <row r="1094" spans="2:6" x14ac:dyDescent="0.2">
      <c r="B1094" s="86"/>
      <c r="C1094" s="2" t="s">
        <v>159</v>
      </c>
      <c r="D1094" s="45"/>
      <c r="E1094" s="2"/>
      <c r="F1094" s="9">
        <f t="shared" si="30"/>
        <v>0</v>
      </c>
    </row>
    <row r="1095" spans="2:6" x14ac:dyDescent="0.2">
      <c r="B1095" s="86"/>
      <c r="C1095" s="2" t="s">
        <v>148</v>
      </c>
      <c r="D1095" s="45"/>
      <c r="E1095" s="2"/>
      <c r="F1095" s="9">
        <f t="shared" si="30"/>
        <v>0</v>
      </c>
    </row>
    <row r="1096" spans="2:6" x14ac:dyDescent="0.2">
      <c r="B1096" s="86"/>
      <c r="C1096" s="2"/>
      <c r="D1096" s="45"/>
      <c r="E1096" s="2"/>
      <c r="F1096" s="9">
        <f t="shared" si="30"/>
        <v>0</v>
      </c>
    </row>
    <row r="1097" spans="2:6" x14ac:dyDescent="0.2">
      <c r="B1097" s="86"/>
      <c r="C1097" s="2"/>
      <c r="D1097" s="45"/>
      <c r="E1097" s="2"/>
      <c r="F1097" s="9">
        <f t="shared" si="30"/>
        <v>0</v>
      </c>
    </row>
    <row r="1098" spans="2:6" x14ac:dyDescent="0.2">
      <c r="B1098" s="86"/>
      <c r="C1098" s="2"/>
      <c r="D1098" s="45"/>
      <c r="E1098" s="2"/>
      <c r="F1098" s="9">
        <f t="shared" si="30"/>
        <v>0</v>
      </c>
    </row>
    <row r="1099" spans="2:6" x14ac:dyDescent="0.2">
      <c r="B1099" s="86"/>
      <c r="C1099" s="2"/>
      <c r="D1099" s="45"/>
      <c r="E1099" s="2"/>
      <c r="F1099" s="9">
        <f t="shared" si="30"/>
        <v>0</v>
      </c>
    </row>
    <row r="1100" spans="2:6" x14ac:dyDescent="0.2">
      <c r="B1100" s="86"/>
      <c r="C1100" s="56"/>
      <c r="D1100" s="45"/>
      <c r="E1100" s="2"/>
      <c r="F1100" s="9">
        <f t="shared" si="30"/>
        <v>0</v>
      </c>
    </row>
    <row r="1101" spans="2:6" x14ac:dyDescent="0.2">
      <c r="B1101" s="8"/>
      <c r="C1101" s="159"/>
      <c r="D1101" s="160"/>
      <c r="E1101" s="161"/>
      <c r="F1101" s="70"/>
    </row>
    <row r="1102" spans="2:6" ht="15.75" thickBot="1" x14ac:dyDescent="0.25">
      <c r="B1102" s="144" t="s">
        <v>11</v>
      </c>
      <c r="C1102" s="145"/>
      <c r="D1102" s="145"/>
      <c r="E1102" s="146"/>
      <c r="F1102" s="10">
        <f>SUM(F1067:F1101)</f>
        <v>0</v>
      </c>
    </row>
    <row r="1103" spans="2:6" x14ac:dyDescent="0.2">
      <c r="B1103" s="153" t="s">
        <v>7</v>
      </c>
      <c r="C1103" s="154"/>
      <c r="D1103" s="154"/>
      <c r="E1103" s="155"/>
      <c r="F1103" s="17"/>
    </row>
    <row r="1104" spans="2:6" x14ac:dyDescent="0.2">
      <c r="B1104" s="147" t="s">
        <v>8</v>
      </c>
      <c r="C1104" s="148"/>
      <c r="D1104" s="148"/>
      <c r="E1104" s="149"/>
      <c r="F1104" s="28">
        <f>F1103+F1102</f>
        <v>0</v>
      </c>
    </row>
    <row r="1105" spans="1:6" x14ac:dyDescent="0.2">
      <c r="B1105" s="147" t="s">
        <v>9</v>
      </c>
      <c r="C1105" s="148"/>
      <c r="D1105" s="148"/>
      <c r="E1105" s="149"/>
      <c r="F1105" s="39"/>
    </row>
    <row r="1106" spans="1:6" ht="15.75" thickBot="1" x14ac:dyDescent="0.25">
      <c r="B1106" s="150" t="s">
        <v>10</v>
      </c>
      <c r="C1106" s="151"/>
      <c r="D1106" s="151"/>
      <c r="E1106" s="152"/>
      <c r="F1106" s="12">
        <f>F1105-F1104</f>
        <v>0</v>
      </c>
    </row>
    <row r="1107" spans="1:6" ht="15.75" thickBot="1" x14ac:dyDescent="0.25"/>
    <row r="1108" spans="1:6" x14ac:dyDescent="0.2">
      <c r="A1108" s="27" t="s">
        <v>49</v>
      </c>
      <c r="B1108" s="6" t="s">
        <v>2</v>
      </c>
      <c r="C1108" s="156">
        <f>C1062</f>
        <v>0</v>
      </c>
      <c r="D1108" s="157"/>
      <c r="E1108" s="157"/>
      <c r="F1108" s="158"/>
    </row>
    <row r="1109" spans="1:6" x14ac:dyDescent="0.2">
      <c r="B1109" s="7" t="s">
        <v>0</v>
      </c>
      <c r="C1109" s="142" t="s">
        <v>104</v>
      </c>
      <c r="D1109" s="142"/>
      <c r="E1109" s="142"/>
      <c r="F1109" s="143"/>
    </row>
    <row r="1110" spans="1:6" x14ac:dyDescent="0.2">
      <c r="B1110" s="7" t="s">
        <v>1</v>
      </c>
      <c r="C1110" s="142"/>
      <c r="D1110" s="142"/>
      <c r="E1110" s="142"/>
      <c r="F1110" s="143"/>
    </row>
    <row r="1111" spans="1:6" ht="15.75" thickBot="1" x14ac:dyDescent="0.25">
      <c r="B1111" s="7"/>
      <c r="C1111" s="162"/>
      <c r="D1111" s="162"/>
      <c r="E1111" s="162"/>
      <c r="F1111" s="163"/>
    </row>
    <row r="1112" spans="1:6" x14ac:dyDescent="0.2">
      <c r="B1112" s="91" t="s">
        <v>108</v>
      </c>
      <c r="C1112" s="92" t="s">
        <v>3</v>
      </c>
      <c r="D1112" s="92" t="s">
        <v>4</v>
      </c>
      <c r="E1112" s="93"/>
      <c r="F1112" s="94" t="s">
        <v>5</v>
      </c>
    </row>
    <row r="1113" spans="1:6" x14ac:dyDescent="0.2">
      <c r="B1113" s="8"/>
      <c r="C1113" s="35" t="s">
        <v>67</v>
      </c>
      <c r="D1113" s="60"/>
      <c r="E1113" s="2">
        <v>3750</v>
      </c>
      <c r="F1113" s="9">
        <f t="shared" ref="F1113:F1146" si="31">(B1113-D1113) *E1113</f>
        <v>0</v>
      </c>
    </row>
    <row r="1114" spans="1:6" x14ac:dyDescent="0.2">
      <c r="B1114" s="87"/>
      <c r="C1114" s="1" t="s">
        <v>14</v>
      </c>
      <c r="D1114" s="80"/>
      <c r="E1114" s="56">
        <v>9250</v>
      </c>
      <c r="F1114" s="81">
        <f t="shared" si="31"/>
        <v>0</v>
      </c>
    </row>
    <row r="1115" spans="1:6" x14ac:dyDescent="0.2">
      <c r="B1115" s="86"/>
      <c r="C1115" s="1" t="s">
        <v>15</v>
      </c>
      <c r="D1115" s="45"/>
      <c r="E1115" s="2">
        <v>4750</v>
      </c>
      <c r="F1115" s="9">
        <f t="shared" si="31"/>
        <v>0</v>
      </c>
    </row>
    <row r="1116" spans="1:6" x14ac:dyDescent="0.2">
      <c r="B1116" s="86"/>
      <c r="C1116" s="1" t="s">
        <v>62</v>
      </c>
      <c r="D1116" s="45"/>
      <c r="E1116" s="2">
        <v>17000</v>
      </c>
      <c r="F1116" s="9">
        <f t="shared" si="31"/>
        <v>0</v>
      </c>
    </row>
    <row r="1117" spans="1:6" x14ac:dyDescent="0.2">
      <c r="B1117" s="86"/>
      <c r="C1117" s="1" t="s">
        <v>18</v>
      </c>
      <c r="D1117" s="45"/>
      <c r="E1117" s="2">
        <v>73000</v>
      </c>
      <c r="F1117" s="9">
        <f t="shared" si="31"/>
        <v>0</v>
      </c>
    </row>
    <row r="1118" spans="1:6" x14ac:dyDescent="0.2">
      <c r="B1118" s="86"/>
      <c r="C1118" s="1" t="s">
        <v>139</v>
      </c>
      <c r="D1118" s="45"/>
      <c r="E1118" s="2">
        <v>80000</v>
      </c>
      <c r="F1118" s="9">
        <f t="shared" si="31"/>
        <v>0</v>
      </c>
    </row>
    <row r="1119" spans="1:6" x14ac:dyDescent="0.2">
      <c r="B1119" s="86"/>
      <c r="C1119" s="1" t="s">
        <v>123</v>
      </c>
      <c r="D1119" s="45"/>
      <c r="E1119" s="2">
        <v>2200</v>
      </c>
      <c r="F1119" s="9">
        <f t="shared" si="31"/>
        <v>0</v>
      </c>
    </row>
    <row r="1120" spans="1:6" x14ac:dyDescent="0.2">
      <c r="B1120" s="86"/>
      <c r="C1120" s="1" t="s">
        <v>151</v>
      </c>
      <c r="D1120" s="45"/>
      <c r="E1120" s="2">
        <v>3120</v>
      </c>
      <c r="F1120" s="9">
        <f t="shared" si="31"/>
        <v>0</v>
      </c>
    </row>
    <row r="1121" spans="2:6" x14ac:dyDescent="0.2">
      <c r="B1121" s="86"/>
      <c r="C1121" s="2" t="s">
        <v>74</v>
      </c>
      <c r="D1121" s="45"/>
      <c r="E1121" s="2">
        <v>3700</v>
      </c>
      <c r="F1121" s="9">
        <f t="shared" si="31"/>
        <v>0</v>
      </c>
    </row>
    <row r="1122" spans="2:6" x14ac:dyDescent="0.2">
      <c r="B1122" s="86"/>
      <c r="C1122" s="2" t="s">
        <v>79</v>
      </c>
      <c r="D1122" s="45"/>
      <c r="E1122" s="2">
        <v>4500</v>
      </c>
      <c r="F1122" s="9">
        <f t="shared" si="31"/>
        <v>0</v>
      </c>
    </row>
    <row r="1123" spans="2:6" x14ac:dyDescent="0.2">
      <c r="B1123" s="86"/>
      <c r="C1123" s="2" t="s">
        <v>145</v>
      </c>
      <c r="D1123" s="45"/>
      <c r="E1123" s="2">
        <v>3700</v>
      </c>
      <c r="F1123" s="9">
        <f t="shared" si="31"/>
        <v>0</v>
      </c>
    </row>
    <row r="1124" spans="2:6" x14ac:dyDescent="0.2">
      <c r="B1124" s="86"/>
      <c r="C1124" s="2" t="s">
        <v>152</v>
      </c>
      <c r="D1124" s="45"/>
      <c r="E1124" s="2">
        <v>54000</v>
      </c>
      <c r="F1124" s="9">
        <f t="shared" si="31"/>
        <v>0</v>
      </c>
    </row>
    <row r="1125" spans="2:6" x14ac:dyDescent="0.2">
      <c r="B1125" s="86"/>
      <c r="C1125" s="2" t="s">
        <v>166</v>
      </c>
      <c r="D1125" s="45"/>
      <c r="E1125" s="2"/>
      <c r="F1125" s="9">
        <f t="shared" si="31"/>
        <v>0</v>
      </c>
    </row>
    <row r="1126" spans="2:6" x14ac:dyDescent="0.2">
      <c r="B1126" s="86"/>
      <c r="C1126" s="2" t="s">
        <v>174</v>
      </c>
      <c r="D1126" s="45"/>
      <c r="E1126" s="2"/>
      <c r="F1126" s="9">
        <f t="shared" si="31"/>
        <v>0</v>
      </c>
    </row>
    <row r="1127" spans="2:6" x14ac:dyDescent="0.2">
      <c r="B1127" s="88"/>
      <c r="C1127" s="2" t="s">
        <v>175</v>
      </c>
      <c r="D1127" s="45"/>
      <c r="E1127" s="2"/>
      <c r="F1127" s="9">
        <f t="shared" si="31"/>
        <v>0</v>
      </c>
    </row>
    <row r="1128" spans="2:6" x14ac:dyDescent="0.2">
      <c r="B1128" s="86"/>
      <c r="C1128" s="2" t="s">
        <v>172</v>
      </c>
      <c r="D1128" s="45"/>
      <c r="E1128" s="2"/>
      <c r="F1128" s="9">
        <f t="shared" si="31"/>
        <v>0</v>
      </c>
    </row>
    <row r="1129" spans="2:6" x14ac:dyDescent="0.2">
      <c r="B1129" s="86"/>
      <c r="C1129" s="56" t="s">
        <v>142</v>
      </c>
      <c r="D1129" s="45"/>
      <c r="E1129" s="2"/>
      <c r="F1129" s="9">
        <f t="shared" si="31"/>
        <v>0</v>
      </c>
    </row>
    <row r="1130" spans="2:6" x14ac:dyDescent="0.2">
      <c r="B1130" s="86"/>
      <c r="C1130" s="2" t="s">
        <v>146</v>
      </c>
      <c r="D1130" s="45"/>
      <c r="E1130" s="2"/>
      <c r="F1130" s="9">
        <f t="shared" si="31"/>
        <v>0</v>
      </c>
    </row>
    <row r="1131" spans="2:6" x14ac:dyDescent="0.2">
      <c r="B1131" s="86"/>
      <c r="C1131" s="2" t="s">
        <v>121</v>
      </c>
      <c r="D1131" s="45"/>
      <c r="E1131" s="2"/>
      <c r="F1131" s="9">
        <f t="shared" si="31"/>
        <v>0</v>
      </c>
    </row>
    <row r="1132" spans="2:6" x14ac:dyDescent="0.2">
      <c r="B1132" s="86"/>
      <c r="C1132" s="2" t="s">
        <v>122</v>
      </c>
      <c r="D1132" s="45"/>
      <c r="E1132" s="2"/>
      <c r="F1132" s="9">
        <f t="shared" si="31"/>
        <v>0</v>
      </c>
    </row>
    <row r="1133" spans="2:6" x14ac:dyDescent="0.2">
      <c r="B1133" s="86"/>
      <c r="C1133" s="2" t="s">
        <v>143</v>
      </c>
      <c r="D1133" s="45"/>
      <c r="E1133" s="2"/>
      <c r="F1133" s="9">
        <f t="shared" si="31"/>
        <v>0</v>
      </c>
    </row>
    <row r="1134" spans="2:6" x14ac:dyDescent="0.2">
      <c r="B1134" s="86"/>
      <c r="C1134" s="2" t="s">
        <v>126</v>
      </c>
      <c r="D1134" s="45"/>
      <c r="E1134" s="2"/>
      <c r="F1134" s="9">
        <f t="shared" si="31"/>
        <v>0</v>
      </c>
    </row>
    <row r="1135" spans="2:6" x14ac:dyDescent="0.2">
      <c r="B1135" s="86"/>
      <c r="C1135" s="2" t="s">
        <v>153</v>
      </c>
      <c r="D1135" s="45"/>
      <c r="E1135" s="2"/>
      <c r="F1135" s="9">
        <f t="shared" si="31"/>
        <v>0</v>
      </c>
    </row>
    <row r="1136" spans="2:6" x14ac:dyDescent="0.2">
      <c r="B1136" s="86"/>
      <c r="C1136" s="2" t="s">
        <v>141</v>
      </c>
      <c r="D1136" s="45"/>
      <c r="E1136" s="2"/>
      <c r="F1136" s="9">
        <f t="shared" si="31"/>
        <v>0</v>
      </c>
    </row>
    <row r="1137" spans="2:6" x14ac:dyDescent="0.2">
      <c r="B1137" s="86"/>
      <c r="C1137" s="2" t="s">
        <v>144</v>
      </c>
      <c r="D1137" s="45"/>
      <c r="E1137" s="2"/>
      <c r="F1137" s="9">
        <f t="shared" si="31"/>
        <v>0</v>
      </c>
    </row>
    <row r="1138" spans="2:6" x14ac:dyDescent="0.2">
      <c r="B1138" s="87"/>
      <c r="C1138" s="2" t="s">
        <v>147</v>
      </c>
      <c r="D1138" s="45"/>
      <c r="E1138" s="2"/>
      <c r="F1138" s="9">
        <f t="shared" si="31"/>
        <v>0</v>
      </c>
    </row>
    <row r="1139" spans="2:6" x14ac:dyDescent="0.2">
      <c r="B1139" s="86"/>
      <c r="C1139" s="2" t="s">
        <v>173</v>
      </c>
      <c r="D1139" s="45"/>
      <c r="E1139" s="2"/>
      <c r="F1139" s="9">
        <f t="shared" si="31"/>
        <v>0</v>
      </c>
    </row>
    <row r="1140" spans="2:6" x14ac:dyDescent="0.2">
      <c r="B1140" s="86"/>
      <c r="C1140" s="2" t="s">
        <v>159</v>
      </c>
      <c r="D1140" s="45"/>
      <c r="E1140" s="2"/>
      <c r="F1140" s="9">
        <f t="shared" si="31"/>
        <v>0</v>
      </c>
    </row>
    <row r="1141" spans="2:6" x14ac:dyDescent="0.2">
      <c r="B1141" s="86"/>
      <c r="C1141" s="2" t="s">
        <v>148</v>
      </c>
      <c r="D1141" s="45"/>
      <c r="E1141" s="2"/>
      <c r="F1141" s="9">
        <f t="shared" si="31"/>
        <v>0</v>
      </c>
    </row>
    <row r="1142" spans="2:6" x14ac:dyDescent="0.2">
      <c r="B1142" s="86"/>
      <c r="C1142" s="2"/>
      <c r="D1142" s="45"/>
      <c r="E1142" s="2"/>
      <c r="F1142" s="9">
        <f t="shared" si="31"/>
        <v>0</v>
      </c>
    </row>
    <row r="1143" spans="2:6" x14ac:dyDescent="0.2">
      <c r="B1143" s="86"/>
      <c r="C1143" s="2"/>
      <c r="D1143" s="45"/>
      <c r="E1143" s="2"/>
      <c r="F1143" s="9">
        <f t="shared" si="31"/>
        <v>0</v>
      </c>
    </row>
    <row r="1144" spans="2:6" x14ac:dyDescent="0.2">
      <c r="B1144" s="86"/>
      <c r="C1144" s="2"/>
      <c r="D1144" s="45"/>
      <c r="E1144" s="2"/>
      <c r="F1144" s="9">
        <f t="shared" si="31"/>
        <v>0</v>
      </c>
    </row>
    <row r="1145" spans="2:6" x14ac:dyDescent="0.2">
      <c r="B1145" s="86"/>
      <c r="C1145" s="2"/>
      <c r="D1145" s="45"/>
      <c r="E1145" s="2"/>
      <c r="F1145" s="9">
        <f t="shared" si="31"/>
        <v>0</v>
      </c>
    </row>
    <row r="1146" spans="2:6" x14ac:dyDescent="0.2">
      <c r="B1146" s="86"/>
      <c r="C1146" s="56"/>
      <c r="D1146" s="45"/>
      <c r="E1146" s="2"/>
      <c r="F1146" s="9">
        <f t="shared" si="31"/>
        <v>0</v>
      </c>
    </row>
    <row r="1147" spans="2:6" x14ac:dyDescent="0.2">
      <c r="B1147" s="8"/>
      <c r="C1147" s="159"/>
      <c r="D1147" s="160"/>
      <c r="E1147" s="161"/>
      <c r="F1147" s="70"/>
    </row>
    <row r="1148" spans="2:6" ht="15.75" thickBot="1" x14ac:dyDescent="0.25">
      <c r="B1148" s="144" t="s">
        <v>11</v>
      </c>
      <c r="C1148" s="145"/>
      <c r="D1148" s="145"/>
      <c r="E1148" s="146"/>
      <c r="F1148" s="10">
        <f>SUM(F1113:F1147)</f>
        <v>0</v>
      </c>
    </row>
    <row r="1149" spans="2:6" x14ac:dyDescent="0.2">
      <c r="B1149" s="153" t="s">
        <v>7</v>
      </c>
      <c r="C1149" s="154"/>
      <c r="D1149" s="154"/>
      <c r="E1149" s="155"/>
      <c r="F1149" s="17">
        <v>467000</v>
      </c>
    </row>
    <row r="1150" spans="2:6" x14ac:dyDescent="0.2">
      <c r="B1150" s="147" t="s">
        <v>8</v>
      </c>
      <c r="C1150" s="148"/>
      <c r="D1150" s="148"/>
      <c r="E1150" s="149"/>
      <c r="F1150" s="28">
        <f>F1148+F1149</f>
        <v>467000</v>
      </c>
    </row>
    <row r="1151" spans="2:6" x14ac:dyDescent="0.2">
      <c r="B1151" s="147" t="s">
        <v>9</v>
      </c>
      <c r="C1151" s="148"/>
      <c r="D1151" s="148"/>
      <c r="E1151" s="149"/>
      <c r="F1151" s="39"/>
    </row>
    <row r="1152" spans="2:6" ht="15.75" thickBot="1" x14ac:dyDescent="0.25">
      <c r="B1152" s="150" t="s">
        <v>10</v>
      </c>
      <c r="C1152" s="151"/>
      <c r="D1152" s="151"/>
      <c r="E1152" s="152"/>
      <c r="F1152" s="12">
        <f>F1151-F1150</f>
        <v>-467000</v>
      </c>
    </row>
    <row r="1153" spans="1:6" ht="15.75" thickBot="1" x14ac:dyDescent="0.25"/>
    <row r="1154" spans="1:6" x14ac:dyDescent="0.2">
      <c r="A1154" s="27" t="s">
        <v>80</v>
      </c>
      <c r="B1154" s="6" t="s">
        <v>2</v>
      </c>
      <c r="C1154" s="156">
        <f>C1108</f>
        <v>0</v>
      </c>
      <c r="D1154" s="157"/>
      <c r="E1154" s="157"/>
      <c r="F1154" s="158"/>
    </row>
    <row r="1155" spans="1:6" x14ac:dyDescent="0.2">
      <c r="B1155" s="7" t="s">
        <v>0</v>
      </c>
      <c r="C1155" s="142" t="s">
        <v>171</v>
      </c>
      <c r="D1155" s="142"/>
      <c r="E1155" s="142"/>
      <c r="F1155" s="143"/>
    </row>
    <row r="1156" spans="1:6" x14ac:dyDescent="0.2">
      <c r="B1156" s="7" t="s">
        <v>1</v>
      </c>
      <c r="C1156" s="142"/>
      <c r="D1156" s="142"/>
      <c r="E1156" s="142"/>
      <c r="F1156" s="143"/>
    </row>
    <row r="1157" spans="1:6" ht="15.75" thickBot="1" x14ac:dyDescent="0.25">
      <c r="B1157" s="7"/>
      <c r="C1157" s="162"/>
      <c r="D1157" s="162"/>
      <c r="E1157" s="162"/>
      <c r="F1157" s="163"/>
    </row>
    <row r="1158" spans="1:6" x14ac:dyDescent="0.2">
      <c r="B1158" s="91" t="s">
        <v>108</v>
      </c>
      <c r="C1158" s="92" t="s">
        <v>3</v>
      </c>
      <c r="D1158" s="92" t="s">
        <v>4</v>
      </c>
      <c r="E1158" s="93"/>
      <c r="F1158" s="94" t="s">
        <v>5</v>
      </c>
    </row>
    <row r="1159" spans="1:6" x14ac:dyDescent="0.2">
      <c r="B1159" s="8"/>
      <c r="C1159" s="35" t="s">
        <v>67</v>
      </c>
      <c r="D1159" s="60"/>
      <c r="E1159" s="2">
        <v>3750</v>
      </c>
      <c r="F1159" s="9">
        <f t="shared" ref="F1159:F1192" si="32">(B1159-D1159) *E1159</f>
        <v>0</v>
      </c>
    </row>
    <row r="1160" spans="1:6" x14ac:dyDescent="0.2">
      <c r="B1160" s="87"/>
      <c r="C1160" s="1" t="s">
        <v>14</v>
      </c>
      <c r="D1160" s="80"/>
      <c r="E1160" s="56">
        <v>9250</v>
      </c>
      <c r="F1160" s="81">
        <f t="shared" si="32"/>
        <v>0</v>
      </c>
    </row>
    <row r="1161" spans="1:6" x14ac:dyDescent="0.2">
      <c r="B1161" s="86"/>
      <c r="C1161" s="1" t="s">
        <v>15</v>
      </c>
      <c r="D1161" s="45"/>
      <c r="E1161" s="2">
        <v>4750</v>
      </c>
      <c r="F1161" s="9">
        <f t="shared" si="32"/>
        <v>0</v>
      </c>
    </row>
    <row r="1162" spans="1:6" x14ac:dyDescent="0.2">
      <c r="B1162" s="86"/>
      <c r="C1162" s="1" t="s">
        <v>62</v>
      </c>
      <c r="D1162" s="45"/>
      <c r="E1162" s="2">
        <v>17000</v>
      </c>
      <c r="F1162" s="9">
        <f t="shared" si="32"/>
        <v>0</v>
      </c>
    </row>
    <row r="1163" spans="1:6" x14ac:dyDescent="0.2">
      <c r="B1163" s="86"/>
      <c r="C1163" s="1" t="s">
        <v>18</v>
      </c>
      <c r="D1163" s="45"/>
      <c r="E1163" s="2">
        <v>78000</v>
      </c>
      <c r="F1163" s="9">
        <f t="shared" si="32"/>
        <v>0</v>
      </c>
    </row>
    <row r="1164" spans="1:6" x14ac:dyDescent="0.2">
      <c r="B1164" s="86"/>
      <c r="C1164" s="1" t="s">
        <v>139</v>
      </c>
      <c r="D1164" s="45"/>
      <c r="E1164" s="2">
        <v>80000</v>
      </c>
      <c r="F1164" s="9">
        <f t="shared" si="32"/>
        <v>0</v>
      </c>
    </row>
    <row r="1165" spans="1:6" x14ac:dyDescent="0.2">
      <c r="B1165" s="86"/>
      <c r="C1165" s="1" t="s">
        <v>123</v>
      </c>
      <c r="D1165" s="45"/>
      <c r="E1165" s="2">
        <v>2200</v>
      </c>
      <c r="F1165" s="9">
        <f t="shared" si="32"/>
        <v>0</v>
      </c>
    </row>
    <row r="1166" spans="1:6" x14ac:dyDescent="0.2">
      <c r="B1166" s="86"/>
      <c r="C1166" s="1" t="s">
        <v>198</v>
      </c>
      <c r="D1166" s="45"/>
      <c r="E1166" s="2">
        <v>17000</v>
      </c>
      <c r="F1166" s="9">
        <f t="shared" si="32"/>
        <v>0</v>
      </c>
    </row>
    <row r="1167" spans="1:6" x14ac:dyDescent="0.2">
      <c r="B1167" s="86"/>
      <c r="C1167" s="2" t="s">
        <v>74</v>
      </c>
      <c r="D1167" s="45"/>
      <c r="E1167" s="2">
        <v>3800</v>
      </c>
      <c r="F1167" s="9">
        <f t="shared" si="32"/>
        <v>0</v>
      </c>
    </row>
    <row r="1168" spans="1:6" x14ac:dyDescent="0.2">
      <c r="B1168" s="86"/>
      <c r="C1168" s="2" t="s">
        <v>79</v>
      </c>
      <c r="D1168" s="45"/>
      <c r="E1168" s="2">
        <v>4500</v>
      </c>
      <c r="F1168" s="9">
        <f t="shared" si="32"/>
        <v>0</v>
      </c>
    </row>
    <row r="1169" spans="2:6" x14ac:dyDescent="0.2">
      <c r="B1169" s="86"/>
      <c r="C1169" s="2" t="s">
        <v>145</v>
      </c>
      <c r="D1169" s="45"/>
      <c r="E1169" s="2">
        <v>3700</v>
      </c>
      <c r="F1169" s="9">
        <f t="shared" si="32"/>
        <v>0</v>
      </c>
    </row>
    <row r="1170" spans="2:6" x14ac:dyDescent="0.2">
      <c r="B1170" s="86"/>
      <c r="C1170" s="2" t="s">
        <v>152</v>
      </c>
      <c r="D1170" s="45"/>
      <c r="E1170" s="2">
        <v>54000</v>
      </c>
      <c r="F1170" s="9">
        <f t="shared" si="32"/>
        <v>0</v>
      </c>
    </row>
    <row r="1171" spans="2:6" x14ac:dyDescent="0.2">
      <c r="B1171" s="86"/>
      <c r="C1171" s="2" t="s">
        <v>166</v>
      </c>
      <c r="D1171" s="45"/>
      <c r="E1171" s="2"/>
      <c r="F1171" s="9">
        <f t="shared" si="32"/>
        <v>0</v>
      </c>
    </row>
    <row r="1172" spans="2:6" x14ac:dyDescent="0.2">
      <c r="B1172" s="86"/>
      <c r="C1172" s="2" t="s">
        <v>174</v>
      </c>
      <c r="D1172" s="45"/>
      <c r="E1172" s="2"/>
      <c r="F1172" s="9">
        <f t="shared" si="32"/>
        <v>0</v>
      </c>
    </row>
    <row r="1173" spans="2:6" x14ac:dyDescent="0.2">
      <c r="B1173" s="88">
        <v>12</v>
      </c>
      <c r="C1173" s="2" t="s">
        <v>175</v>
      </c>
      <c r="D1173" s="45"/>
      <c r="E1173" s="2">
        <v>23800</v>
      </c>
      <c r="F1173" s="9">
        <f t="shared" si="32"/>
        <v>285600</v>
      </c>
    </row>
    <row r="1174" spans="2:6" x14ac:dyDescent="0.2">
      <c r="B1174" s="86"/>
      <c r="C1174" s="2" t="s">
        <v>172</v>
      </c>
      <c r="D1174" s="45"/>
      <c r="E1174" s="2"/>
      <c r="F1174" s="9">
        <f t="shared" si="32"/>
        <v>0</v>
      </c>
    </row>
    <row r="1175" spans="2:6" x14ac:dyDescent="0.2">
      <c r="B1175" s="86"/>
      <c r="C1175" s="56" t="s">
        <v>142</v>
      </c>
      <c r="D1175" s="45"/>
      <c r="E1175" s="2"/>
      <c r="F1175" s="9">
        <f t="shared" si="32"/>
        <v>0</v>
      </c>
    </row>
    <row r="1176" spans="2:6" x14ac:dyDescent="0.2">
      <c r="B1176" s="86"/>
      <c r="C1176" s="2" t="s">
        <v>146</v>
      </c>
      <c r="D1176" s="45"/>
      <c r="E1176" s="2"/>
      <c r="F1176" s="9">
        <f t="shared" si="32"/>
        <v>0</v>
      </c>
    </row>
    <row r="1177" spans="2:6" x14ac:dyDescent="0.2">
      <c r="B1177" s="86">
        <v>2</v>
      </c>
      <c r="C1177" s="2" t="s">
        <v>121</v>
      </c>
      <c r="D1177" s="45"/>
      <c r="E1177" s="2"/>
      <c r="F1177" s="9">
        <f t="shared" si="32"/>
        <v>0</v>
      </c>
    </row>
    <row r="1178" spans="2:6" x14ac:dyDescent="0.2">
      <c r="B1178" s="86"/>
      <c r="C1178" s="2" t="s">
        <v>122</v>
      </c>
      <c r="D1178" s="45"/>
      <c r="E1178" s="2"/>
      <c r="F1178" s="9">
        <f t="shared" si="32"/>
        <v>0</v>
      </c>
    </row>
    <row r="1179" spans="2:6" x14ac:dyDescent="0.2">
      <c r="B1179" s="86"/>
      <c r="C1179" s="2" t="s">
        <v>143</v>
      </c>
      <c r="D1179" s="45"/>
      <c r="E1179" s="2"/>
      <c r="F1179" s="9">
        <f t="shared" si="32"/>
        <v>0</v>
      </c>
    </row>
    <row r="1180" spans="2:6" x14ac:dyDescent="0.2">
      <c r="B1180" s="86"/>
      <c r="C1180" s="2" t="s">
        <v>126</v>
      </c>
      <c r="D1180" s="45"/>
      <c r="E1180" s="2"/>
      <c r="F1180" s="9">
        <f t="shared" si="32"/>
        <v>0</v>
      </c>
    </row>
    <row r="1181" spans="2:6" x14ac:dyDescent="0.2">
      <c r="B1181" s="86">
        <v>2</v>
      </c>
      <c r="C1181" s="2" t="s">
        <v>153</v>
      </c>
      <c r="D1181" s="45"/>
      <c r="E1181" s="2">
        <v>225000</v>
      </c>
      <c r="F1181" s="9">
        <f t="shared" si="32"/>
        <v>450000</v>
      </c>
    </row>
    <row r="1182" spans="2:6" x14ac:dyDescent="0.2">
      <c r="B1182" s="86"/>
      <c r="C1182" s="2" t="s">
        <v>141</v>
      </c>
      <c r="D1182" s="45"/>
      <c r="E1182" s="2"/>
      <c r="F1182" s="9">
        <f t="shared" si="32"/>
        <v>0</v>
      </c>
    </row>
    <row r="1183" spans="2:6" x14ac:dyDescent="0.2">
      <c r="B1183" s="86"/>
      <c r="C1183" s="2" t="s">
        <v>144</v>
      </c>
      <c r="D1183" s="45"/>
      <c r="E1183" s="2"/>
      <c r="F1183" s="9">
        <f t="shared" si="32"/>
        <v>0</v>
      </c>
    </row>
    <row r="1184" spans="2:6" x14ac:dyDescent="0.2">
      <c r="B1184" s="87"/>
      <c r="C1184" s="2" t="s">
        <v>147</v>
      </c>
      <c r="D1184" s="45"/>
      <c r="E1184" s="2"/>
      <c r="F1184" s="9">
        <f t="shared" si="32"/>
        <v>0</v>
      </c>
    </row>
    <row r="1185" spans="1:6" x14ac:dyDescent="0.2">
      <c r="B1185" s="86"/>
      <c r="C1185" s="2" t="s">
        <v>173</v>
      </c>
      <c r="D1185" s="45"/>
      <c r="E1185" s="2"/>
      <c r="F1185" s="9">
        <f t="shared" si="32"/>
        <v>0</v>
      </c>
    </row>
    <row r="1186" spans="1:6" x14ac:dyDescent="0.2">
      <c r="B1186" s="86"/>
      <c r="C1186" s="2" t="s">
        <v>159</v>
      </c>
      <c r="D1186" s="45"/>
      <c r="E1186" s="2"/>
      <c r="F1186" s="9">
        <f t="shared" si="32"/>
        <v>0</v>
      </c>
    </row>
    <row r="1187" spans="1:6" x14ac:dyDescent="0.2">
      <c r="B1187" s="86"/>
      <c r="C1187" s="2" t="s">
        <v>148</v>
      </c>
      <c r="D1187" s="45"/>
      <c r="E1187" s="2">
        <v>220000</v>
      </c>
      <c r="F1187" s="9">
        <f t="shared" si="32"/>
        <v>0</v>
      </c>
    </row>
    <row r="1188" spans="1:6" x14ac:dyDescent="0.2">
      <c r="B1188" s="86"/>
      <c r="C1188" s="2"/>
      <c r="D1188" s="45"/>
      <c r="E1188" s="2"/>
      <c r="F1188" s="9">
        <f t="shared" si="32"/>
        <v>0</v>
      </c>
    </row>
    <row r="1189" spans="1:6" x14ac:dyDescent="0.2">
      <c r="B1189" s="86"/>
      <c r="C1189" s="2"/>
      <c r="D1189" s="45"/>
      <c r="E1189" s="2"/>
      <c r="F1189" s="9">
        <f t="shared" si="32"/>
        <v>0</v>
      </c>
    </row>
    <row r="1190" spans="1:6" x14ac:dyDescent="0.2">
      <c r="B1190" s="86">
        <v>12</v>
      </c>
      <c r="C1190" s="2" t="s">
        <v>183</v>
      </c>
      <c r="D1190" s="45"/>
      <c r="E1190" s="2">
        <v>22500</v>
      </c>
      <c r="F1190" s="9">
        <f t="shared" si="32"/>
        <v>270000</v>
      </c>
    </row>
    <row r="1191" spans="1:6" x14ac:dyDescent="0.2">
      <c r="B1191" s="86"/>
      <c r="C1191" s="2"/>
      <c r="D1191" s="45"/>
      <c r="E1191" s="2"/>
      <c r="F1191" s="9">
        <f t="shared" si="32"/>
        <v>0</v>
      </c>
    </row>
    <row r="1192" spans="1:6" x14ac:dyDescent="0.2">
      <c r="B1192" s="86"/>
      <c r="C1192" s="56"/>
      <c r="D1192" s="45"/>
      <c r="E1192" s="2"/>
      <c r="F1192" s="9">
        <f t="shared" si="32"/>
        <v>0</v>
      </c>
    </row>
    <row r="1193" spans="1:6" x14ac:dyDescent="0.2">
      <c r="B1193" s="8"/>
      <c r="C1193" s="159"/>
      <c r="D1193" s="160"/>
      <c r="E1193" s="161"/>
      <c r="F1193" s="70"/>
    </row>
    <row r="1194" spans="1:6" ht="15.75" thickBot="1" x14ac:dyDescent="0.25">
      <c r="B1194" s="144" t="s">
        <v>11</v>
      </c>
      <c r="C1194" s="145"/>
      <c r="D1194" s="145"/>
      <c r="E1194" s="146"/>
      <c r="F1194" s="10">
        <f>SUM(F1159:F1193)</f>
        <v>1005600</v>
      </c>
    </row>
    <row r="1195" spans="1:6" x14ac:dyDescent="0.2">
      <c r="B1195" s="153" t="s">
        <v>7</v>
      </c>
      <c r="C1195" s="154"/>
      <c r="D1195" s="154"/>
      <c r="E1195" s="155"/>
      <c r="F1195" s="17">
        <v>272000</v>
      </c>
    </row>
    <row r="1196" spans="1:6" x14ac:dyDescent="0.2">
      <c r="B1196" s="147" t="s">
        <v>8</v>
      </c>
      <c r="C1196" s="148"/>
      <c r="D1196" s="148"/>
      <c r="E1196" s="149"/>
      <c r="F1196" s="28">
        <f>F1194+F1195</f>
        <v>1277600</v>
      </c>
    </row>
    <row r="1197" spans="1:6" x14ac:dyDescent="0.2">
      <c r="B1197" s="147" t="s">
        <v>9</v>
      </c>
      <c r="C1197" s="148"/>
      <c r="D1197" s="148"/>
      <c r="E1197" s="149"/>
      <c r="F1197" s="39">
        <v>272000</v>
      </c>
    </row>
    <row r="1198" spans="1:6" ht="15.75" thickBot="1" x14ac:dyDescent="0.25">
      <c r="B1198" s="150" t="s">
        <v>10</v>
      </c>
      <c r="C1198" s="151"/>
      <c r="D1198" s="151"/>
      <c r="E1198" s="152"/>
      <c r="F1198" s="12">
        <f>F1197-F1196</f>
        <v>-1005600</v>
      </c>
    </row>
    <row r="1199" spans="1:6" ht="15.75" thickBot="1" x14ac:dyDescent="0.25"/>
    <row r="1200" spans="1:6" x14ac:dyDescent="0.2">
      <c r="A1200" s="27" t="s">
        <v>81</v>
      </c>
      <c r="B1200" s="6" t="s">
        <v>2</v>
      </c>
      <c r="C1200" s="156">
        <f>C1154</f>
        <v>0</v>
      </c>
      <c r="D1200" s="157"/>
      <c r="E1200" s="157"/>
      <c r="F1200" s="158"/>
    </row>
    <row r="1201" spans="2:6" x14ac:dyDescent="0.2">
      <c r="B1201" s="7" t="s">
        <v>0</v>
      </c>
      <c r="C1201" s="142" t="s">
        <v>106</v>
      </c>
      <c r="D1201" s="142"/>
      <c r="E1201" s="142"/>
      <c r="F1201" s="143"/>
    </row>
    <row r="1202" spans="2:6" x14ac:dyDescent="0.2">
      <c r="B1202" s="7" t="s">
        <v>1</v>
      </c>
      <c r="C1202" s="142"/>
      <c r="D1202" s="142"/>
      <c r="E1202" s="142"/>
      <c r="F1202" s="143"/>
    </row>
    <row r="1203" spans="2:6" ht="15.75" thickBot="1" x14ac:dyDescent="0.25">
      <c r="B1203" s="7"/>
      <c r="C1203" s="162"/>
      <c r="D1203" s="162"/>
      <c r="E1203" s="162"/>
      <c r="F1203" s="163"/>
    </row>
    <row r="1204" spans="2:6" x14ac:dyDescent="0.2">
      <c r="B1204" s="91" t="s">
        <v>108</v>
      </c>
      <c r="C1204" s="92" t="s">
        <v>3</v>
      </c>
      <c r="D1204" s="92" t="s">
        <v>4</v>
      </c>
      <c r="E1204" s="93"/>
      <c r="F1204" s="94" t="s">
        <v>5</v>
      </c>
    </row>
    <row r="1205" spans="2:6" x14ac:dyDescent="0.2">
      <c r="B1205" s="8"/>
      <c r="C1205" s="35" t="s">
        <v>67</v>
      </c>
      <c r="D1205" s="60"/>
      <c r="E1205" s="2">
        <v>3750</v>
      </c>
      <c r="F1205" s="9">
        <f t="shared" ref="F1205:F1238" si="33">(B1205-D1205) *E1205</f>
        <v>0</v>
      </c>
    </row>
    <row r="1206" spans="2:6" x14ac:dyDescent="0.2">
      <c r="B1206" s="87"/>
      <c r="C1206" s="1" t="s">
        <v>14</v>
      </c>
      <c r="D1206" s="80"/>
      <c r="E1206" s="56">
        <v>9250</v>
      </c>
      <c r="F1206" s="81">
        <f t="shared" si="33"/>
        <v>0</v>
      </c>
    </row>
    <row r="1207" spans="2:6" x14ac:dyDescent="0.2">
      <c r="B1207" s="86"/>
      <c r="C1207" s="1" t="s">
        <v>15</v>
      </c>
      <c r="D1207" s="45"/>
      <c r="E1207" s="2">
        <v>4750</v>
      </c>
      <c r="F1207" s="9">
        <f t="shared" si="33"/>
        <v>0</v>
      </c>
    </row>
    <row r="1208" spans="2:6" x14ac:dyDescent="0.2">
      <c r="B1208" s="86"/>
      <c r="C1208" s="1" t="s">
        <v>62</v>
      </c>
      <c r="D1208" s="45"/>
      <c r="E1208" s="2">
        <v>17000</v>
      </c>
      <c r="F1208" s="9">
        <f t="shared" si="33"/>
        <v>0</v>
      </c>
    </row>
    <row r="1209" spans="2:6" x14ac:dyDescent="0.2">
      <c r="B1209" s="86"/>
      <c r="C1209" s="1" t="s">
        <v>18</v>
      </c>
      <c r="D1209" s="45"/>
      <c r="E1209" s="2">
        <v>73000</v>
      </c>
      <c r="F1209" s="9">
        <f t="shared" si="33"/>
        <v>0</v>
      </c>
    </row>
    <row r="1210" spans="2:6" x14ac:dyDescent="0.2">
      <c r="B1210" s="86"/>
      <c r="C1210" s="1" t="s">
        <v>139</v>
      </c>
      <c r="D1210" s="45"/>
      <c r="E1210" s="2">
        <v>80000</v>
      </c>
      <c r="F1210" s="9">
        <f t="shared" si="33"/>
        <v>0</v>
      </c>
    </row>
    <row r="1211" spans="2:6" x14ac:dyDescent="0.2">
      <c r="B1211" s="86"/>
      <c r="C1211" s="1" t="s">
        <v>123</v>
      </c>
      <c r="D1211" s="45"/>
      <c r="E1211" s="2">
        <v>2200</v>
      </c>
      <c r="F1211" s="9">
        <f t="shared" si="33"/>
        <v>0</v>
      </c>
    </row>
    <row r="1212" spans="2:6" x14ac:dyDescent="0.2">
      <c r="B1212" s="86"/>
      <c r="C1212" s="1" t="s">
        <v>151</v>
      </c>
      <c r="D1212" s="45"/>
      <c r="E1212" s="2">
        <v>3120</v>
      </c>
      <c r="F1212" s="9">
        <f t="shared" si="33"/>
        <v>0</v>
      </c>
    </row>
    <row r="1213" spans="2:6" x14ac:dyDescent="0.2">
      <c r="B1213" s="86"/>
      <c r="C1213" s="2" t="s">
        <v>74</v>
      </c>
      <c r="D1213" s="45"/>
      <c r="E1213" s="2">
        <v>3700</v>
      </c>
      <c r="F1213" s="9">
        <f t="shared" si="33"/>
        <v>0</v>
      </c>
    </row>
    <row r="1214" spans="2:6" x14ac:dyDescent="0.2">
      <c r="B1214" s="86"/>
      <c r="C1214" s="2" t="s">
        <v>79</v>
      </c>
      <c r="D1214" s="45"/>
      <c r="E1214" s="2">
        <v>4500</v>
      </c>
      <c r="F1214" s="9">
        <f t="shared" si="33"/>
        <v>0</v>
      </c>
    </row>
    <row r="1215" spans="2:6" x14ac:dyDescent="0.2">
      <c r="B1215" s="86"/>
      <c r="C1215" s="2" t="s">
        <v>145</v>
      </c>
      <c r="D1215" s="45"/>
      <c r="E1215" s="2">
        <v>3700</v>
      </c>
      <c r="F1215" s="9">
        <f t="shared" si="33"/>
        <v>0</v>
      </c>
    </row>
    <row r="1216" spans="2:6" x14ac:dyDescent="0.2">
      <c r="B1216" s="86"/>
      <c r="C1216" s="2" t="s">
        <v>152</v>
      </c>
      <c r="D1216" s="45"/>
      <c r="E1216" s="2">
        <v>54000</v>
      </c>
      <c r="F1216" s="9">
        <f t="shared" si="33"/>
        <v>0</v>
      </c>
    </row>
    <row r="1217" spans="2:6" x14ac:dyDescent="0.2">
      <c r="B1217" s="86"/>
      <c r="C1217" s="2" t="s">
        <v>166</v>
      </c>
      <c r="D1217" s="45"/>
      <c r="E1217" s="2"/>
      <c r="F1217" s="9">
        <f t="shared" si="33"/>
        <v>0</v>
      </c>
    </row>
    <row r="1218" spans="2:6" x14ac:dyDescent="0.2">
      <c r="B1218" s="86"/>
      <c r="C1218" s="2" t="s">
        <v>174</v>
      </c>
      <c r="D1218" s="45"/>
      <c r="E1218" s="2"/>
      <c r="F1218" s="9">
        <f t="shared" si="33"/>
        <v>0</v>
      </c>
    </row>
    <row r="1219" spans="2:6" x14ac:dyDescent="0.2">
      <c r="B1219" s="88"/>
      <c r="C1219" s="2" t="s">
        <v>175</v>
      </c>
      <c r="D1219" s="45"/>
      <c r="E1219" s="2"/>
      <c r="F1219" s="9">
        <f t="shared" si="33"/>
        <v>0</v>
      </c>
    </row>
    <row r="1220" spans="2:6" x14ac:dyDescent="0.2">
      <c r="B1220" s="86"/>
      <c r="C1220" s="2" t="s">
        <v>172</v>
      </c>
      <c r="D1220" s="45"/>
      <c r="E1220" s="2"/>
      <c r="F1220" s="9">
        <f t="shared" si="33"/>
        <v>0</v>
      </c>
    </row>
    <row r="1221" spans="2:6" x14ac:dyDescent="0.2">
      <c r="B1221" s="86"/>
      <c r="C1221" s="56" t="s">
        <v>142</v>
      </c>
      <c r="D1221" s="45"/>
      <c r="E1221" s="2"/>
      <c r="F1221" s="9">
        <f t="shared" si="33"/>
        <v>0</v>
      </c>
    </row>
    <row r="1222" spans="2:6" x14ac:dyDescent="0.2">
      <c r="B1222" s="86"/>
      <c r="C1222" s="2" t="s">
        <v>146</v>
      </c>
      <c r="D1222" s="45"/>
      <c r="E1222" s="2"/>
      <c r="F1222" s="9">
        <f t="shared" si="33"/>
        <v>0</v>
      </c>
    </row>
    <row r="1223" spans="2:6" x14ac:dyDescent="0.2">
      <c r="B1223" s="86"/>
      <c r="C1223" s="2" t="s">
        <v>121</v>
      </c>
      <c r="D1223" s="45"/>
      <c r="E1223" s="2"/>
      <c r="F1223" s="9">
        <f t="shared" si="33"/>
        <v>0</v>
      </c>
    </row>
    <row r="1224" spans="2:6" x14ac:dyDescent="0.2">
      <c r="B1224" s="86"/>
      <c r="C1224" s="2" t="s">
        <v>122</v>
      </c>
      <c r="D1224" s="45"/>
      <c r="E1224" s="2"/>
      <c r="F1224" s="9">
        <f t="shared" si="33"/>
        <v>0</v>
      </c>
    </row>
    <row r="1225" spans="2:6" x14ac:dyDescent="0.2">
      <c r="B1225" s="86"/>
      <c r="C1225" s="2" t="s">
        <v>143</v>
      </c>
      <c r="D1225" s="45"/>
      <c r="E1225" s="2"/>
      <c r="F1225" s="9">
        <f t="shared" si="33"/>
        <v>0</v>
      </c>
    </row>
    <row r="1226" spans="2:6" x14ac:dyDescent="0.2">
      <c r="B1226" s="86"/>
      <c r="C1226" s="2" t="s">
        <v>126</v>
      </c>
      <c r="D1226" s="45"/>
      <c r="E1226" s="2"/>
      <c r="F1226" s="9">
        <f t="shared" si="33"/>
        <v>0</v>
      </c>
    </row>
    <row r="1227" spans="2:6" x14ac:dyDescent="0.2">
      <c r="B1227" s="86"/>
      <c r="C1227" s="2" t="s">
        <v>153</v>
      </c>
      <c r="D1227" s="45"/>
      <c r="E1227" s="2"/>
      <c r="F1227" s="9">
        <f t="shared" si="33"/>
        <v>0</v>
      </c>
    </row>
    <row r="1228" spans="2:6" x14ac:dyDescent="0.2">
      <c r="B1228" s="86"/>
      <c r="C1228" s="2" t="s">
        <v>141</v>
      </c>
      <c r="D1228" s="45"/>
      <c r="E1228" s="2"/>
      <c r="F1228" s="9">
        <f t="shared" si="33"/>
        <v>0</v>
      </c>
    </row>
    <row r="1229" spans="2:6" x14ac:dyDescent="0.2">
      <c r="B1229" s="86"/>
      <c r="C1229" s="2" t="s">
        <v>144</v>
      </c>
      <c r="D1229" s="45"/>
      <c r="E1229" s="2"/>
      <c r="F1229" s="9">
        <f t="shared" si="33"/>
        <v>0</v>
      </c>
    </row>
    <row r="1230" spans="2:6" x14ac:dyDescent="0.2">
      <c r="B1230" s="87"/>
      <c r="C1230" s="2" t="s">
        <v>147</v>
      </c>
      <c r="D1230" s="45"/>
      <c r="E1230" s="2"/>
      <c r="F1230" s="9">
        <f t="shared" si="33"/>
        <v>0</v>
      </c>
    </row>
    <row r="1231" spans="2:6" x14ac:dyDescent="0.2">
      <c r="B1231" s="86"/>
      <c r="C1231" s="2" t="s">
        <v>173</v>
      </c>
      <c r="D1231" s="45"/>
      <c r="E1231" s="2"/>
      <c r="F1231" s="9">
        <f t="shared" si="33"/>
        <v>0</v>
      </c>
    </row>
    <row r="1232" spans="2:6" x14ac:dyDescent="0.2">
      <c r="B1232" s="86"/>
      <c r="C1232" s="2" t="s">
        <v>159</v>
      </c>
      <c r="D1232" s="45"/>
      <c r="E1232" s="2"/>
      <c r="F1232" s="9">
        <f t="shared" si="33"/>
        <v>0</v>
      </c>
    </row>
    <row r="1233" spans="1:6" x14ac:dyDescent="0.2">
      <c r="B1233" s="86"/>
      <c r="C1233" s="2" t="s">
        <v>148</v>
      </c>
      <c r="D1233" s="45"/>
      <c r="E1233" s="2"/>
      <c r="F1233" s="9">
        <f t="shared" si="33"/>
        <v>0</v>
      </c>
    </row>
    <row r="1234" spans="1:6" x14ac:dyDescent="0.2">
      <c r="B1234" s="86"/>
      <c r="C1234" s="2"/>
      <c r="D1234" s="45"/>
      <c r="E1234" s="2"/>
      <c r="F1234" s="9">
        <f t="shared" si="33"/>
        <v>0</v>
      </c>
    </row>
    <row r="1235" spans="1:6" x14ac:dyDescent="0.2">
      <c r="B1235" s="86"/>
      <c r="C1235" s="2"/>
      <c r="D1235" s="45"/>
      <c r="E1235" s="2"/>
      <c r="F1235" s="9">
        <f t="shared" si="33"/>
        <v>0</v>
      </c>
    </row>
    <row r="1236" spans="1:6" x14ac:dyDescent="0.2">
      <c r="B1236" s="86"/>
      <c r="C1236" s="2"/>
      <c r="D1236" s="45"/>
      <c r="E1236" s="2"/>
      <c r="F1236" s="9">
        <f t="shared" si="33"/>
        <v>0</v>
      </c>
    </row>
    <row r="1237" spans="1:6" x14ac:dyDescent="0.2">
      <c r="B1237" s="86"/>
      <c r="C1237" s="2"/>
      <c r="D1237" s="45"/>
      <c r="E1237" s="2"/>
      <c r="F1237" s="9">
        <f t="shared" si="33"/>
        <v>0</v>
      </c>
    </row>
    <row r="1238" spans="1:6" x14ac:dyDescent="0.2">
      <c r="B1238" s="86"/>
      <c r="C1238" s="56"/>
      <c r="D1238" s="45"/>
      <c r="E1238" s="2"/>
      <c r="F1238" s="9">
        <f t="shared" si="33"/>
        <v>0</v>
      </c>
    </row>
    <row r="1239" spans="1:6" x14ac:dyDescent="0.2">
      <c r="B1239" s="8"/>
      <c r="C1239" s="159"/>
      <c r="D1239" s="160"/>
      <c r="E1239" s="161"/>
      <c r="F1239" s="70"/>
    </row>
    <row r="1240" spans="1:6" ht="15.75" thickBot="1" x14ac:dyDescent="0.25">
      <c r="B1240" s="144" t="s">
        <v>11</v>
      </c>
      <c r="C1240" s="145"/>
      <c r="D1240" s="145"/>
      <c r="E1240" s="146"/>
      <c r="F1240" s="10">
        <f>SUM(F1205:F1239)</f>
        <v>0</v>
      </c>
    </row>
    <row r="1241" spans="1:6" x14ac:dyDescent="0.2">
      <c r="B1241" s="153" t="s">
        <v>7</v>
      </c>
      <c r="C1241" s="154"/>
      <c r="D1241" s="154"/>
      <c r="E1241" s="155"/>
      <c r="F1241" s="17"/>
    </row>
    <row r="1242" spans="1:6" x14ac:dyDescent="0.2">
      <c r="B1242" s="147" t="s">
        <v>8</v>
      </c>
      <c r="C1242" s="148"/>
      <c r="D1242" s="148"/>
      <c r="E1242" s="149"/>
      <c r="F1242" s="28">
        <f>F1240+F1241</f>
        <v>0</v>
      </c>
    </row>
    <row r="1243" spans="1:6" x14ac:dyDescent="0.2">
      <c r="B1243" s="147" t="s">
        <v>9</v>
      </c>
      <c r="C1243" s="148"/>
      <c r="D1243" s="148"/>
      <c r="E1243" s="149"/>
      <c r="F1243" s="39"/>
    </row>
    <row r="1244" spans="1:6" ht="15.75" thickBot="1" x14ac:dyDescent="0.25">
      <c r="B1244" s="150" t="s">
        <v>10</v>
      </c>
      <c r="C1244" s="151"/>
      <c r="D1244" s="151"/>
      <c r="E1244" s="152"/>
      <c r="F1244" s="12">
        <f>F1243-F1242</f>
        <v>0</v>
      </c>
    </row>
    <row r="1245" spans="1:6" ht="15.75" thickBot="1" x14ac:dyDescent="0.25"/>
    <row r="1246" spans="1:6" x14ac:dyDescent="0.2">
      <c r="A1246" s="27" t="s">
        <v>82</v>
      </c>
      <c r="B1246" s="6" t="s">
        <v>2</v>
      </c>
      <c r="C1246" s="156">
        <f>C1200</f>
        <v>0</v>
      </c>
      <c r="D1246" s="157"/>
      <c r="E1246" s="157"/>
      <c r="F1246" s="158"/>
    </row>
    <row r="1247" spans="1:6" x14ac:dyDescent="0.2">
      <c r="B1247" s="7" t="s">
        <v>0</v>
      </c>
      <c r="C1247" s="142" t="s">
        <v>110</v>
      </c>
      <c r="D1247" s="142"/>
      <c r="E1247" s="142"/>
      <c r="F1247" s="143"/>
    </row>
    <row r="1248" spans="1:6" x14ac:dyDescent="0.2">
      <c r="B1248" s="7" t="s">
        <v>1</v>
      </c>
      <c r="C1248" s="142"/>
      <c r="D1248" s="142"/>
      <c r="E1248" s="142"/>
      <c r="F1248" s="143"/>
    </row>
    <row r="1249" spans="2:6" ht="15.75" thickBot="1" x14ac:dyDescent="0.25">
      <c r="B1249" s="7"/>
      <c r="C1249" s="162"/>
      <c r="D1249" s="162"/>
      <c r="E1249" s="162"/>
      <c r="F1249" s="163"/>
    </row>
    <row r="1250" spans="2:6" x14ac:dyDescent="0.2">
      <c r="B1250" s="91" t="s">
        <v>108</v>
      </c>
      <c r="C1250" s="92" t="s">
        <v>3</v>
      </c>
      <c r="D1250" s="92" t="s">
        <v>4</v>
      </c>
      <c r="E1250" s="93"/>
      <c r="F1250" s="94" t="s">
        <v>5</v>
      </c>
    </row>
    <row r="1251" spans="2:6" x14ac:dyDescent="0.2">
      <c r="B1251" s="8"/>
      <c r="C1251" s="35" t="s">
        <v>67</v>
      </c>
      <c r="D1251" s="60"/>
      <c r="E1251" s="2">
        <v>3750</v>
      </c>
      <c r="F1251" s="9">
        <f t="shared" ref="F1251:F1284" si="34">(B1251-D1251) *E1251</f>
        <v>0</v>
      </c>
    </row>
    <row r="1252" spans="2:6" x14ac:dyDescent="0.2">
      <c r="B1252" s="87"/>
      <c r="C1252" s="1" t="s">
        <v>14</v>
      </c>
      <c r="D1252" s="80"/>
      <c r="E1252" s="56">
        <v>9250</v>
      </c>
      <c r="F1252" s="81">
        <f t="shared" si="34"/>
        <v>0</v>
      </c>
    </row>
    <row r="1253" spans="2:6" x14ac:dyDescent="0.2">
      <c r="B1253" s="86"/>
      <c r="C1253" s="1" t="s">
        <v>15</v>
      </c>
      <c r="D1253" s="45"/>
      <c r="E1253" s="2">
        <v>4750</v>
      </c>
      <c r="F1253" s="9">
        <f t="shared" si="34"/>
        <v>0</v>
      </c>
    </row>
    <row r="1254" spans="2:6" x14ac:dyDescent="0.2">
      <c r="B1254" s="86"/>
      <c r="C1254" s="1" t="s">
        <v>62</v>
      </c>
      <c r="D1254" s="45"/>
      <c r="E1254" s="2">
        <v>17000</v>
      </c>
      <c r="F1254" s="9">
        <f t="shared" si="34"/>
        <v>0</v>
      </c>
    </row>
    <row r="1255" spans="2:6" x14ac:dyDescent="0.2">
      <c r="B1255" s="86"/>
      <c r="C1255" s="1" t="s">
        <v>18</v>
      </c>
      <c r="D1255" s="45"/>
      <c r="E1255" s="2">
        <v>73000</v>
      </c>
      <c r="F1255" s="9">
        <f t="shared" si="34"/>
        <v>0</v>
      </c>
    </row>
    <row r="1256" spans="2:6" x14ac:dyDescent="0.2">
      <c r="B1256" s="86"/>
      <c r="C1256" s="1" t="s">
        <v>139</v>
      </c>
      <c r="D1256" s="45"/>
      <c r="E1256" s="2">
        <v>80000</v>
      </c>
      <c r="F1256" s="9">
        <f t="shared" si="34"/>
        <v>0</v>
      </c>
    </row>
    <row r="1257" spans="2:6" x14ac:dyDescent="0.2">
      <c r="B1257" s="86"/>
      <c r="C1257" s="1" t="s">
        <v>123</v>
      </c>
      <c r="D1257" s="45"/>
      <c r="E1257" s="2">
        <v>2200</v>
      </c>
      <c r="F1257" s="9">
        <f t="shared" si="34"/>
        <v>0</v>
      </c>
    </row>
    <row r="1258" spans="2:6" x14ac:dyDescent="0.2">
      <c r="B1258" s="86"/>
      <c r="C1258" s="1" t="s">
        <v>151</v>
      </c>
      <c r="D1258" s="45"/>
      <c r="E1258" s="2">
        <v>3120</v>
      </c>
      <c r="F1258" s="9">
        <f t="shared" si="34"/>
        <v>0</v>
      </c>
    </row>
    <row r="1259" spans="2:6" x14ac:dyDescent="0.2">
      <c r="B1259" s="86"/>
      <c r="C1259" s="2" t="s">
        <v>74</v>
      </c>
      <c r="D1259" s="45"/>
      <c r="E1259" s="2">
        <v>3700</v>
      </c>
      <c r="F1259" s="9">
        <f t="shared" si="34"/>
        <v>0</v>
      </c>
    </row>
    <row r="1260" spans="2:6" x14ac:dyDescent="0.2">
      <c r="B1260" s="86"/>
      <c r="C1260" s="2" t="s">
        <v>79</v>
      </c>
      <c r="D1260" s="45"/>
      <c r="E1260" s="2">
        <v>4500</v>
      </c>
      <c r="F1260" s="9">
        <f t="shared" si="34"/>
        <v>0</v>
      </c>
    </row>
    <row r="1261" spans="2:6" x14ac:dyDescent="0.2">
      <c r="B1261" s="86"/>
      <c r="C1261" s="2" t="s">
        <v>145</v>
      </c>
      <c r="D1261" s="45"/>
      <c r="E1261" s="2">
        <v>3700</v>
      </c>
      <c r="F1261" s="9">
        <f t="shared" si="34"/>
        <v>0</v>
      </c>
    </row>
    <row r="1262" spans="2:6" x14ac:dyDescent="0.2">
      <c r="B1262" s="86"/>
      <c r="C1262" s="2" t="s">
        <v>152</v>
      </c>
      <c r="D1262" s="45"/>
      <c r="E1262" s="2">
        <v>54000</v>
      </c>
      <c r="F1262" s="9">
        <f t="shared" si="34"/>
        <v>0</v>
      </c>
    </row>
    <row r="1263" spans="2:6" x14ac:dyDescent="0.2">
      <c r="B1263" s="86"/>
      <c r="C1263" s="2" t="s">
        <v>166</v>
      </c>
      <c r="D1263" s="45"/>
      <c r="E1263" s="2"/>
      <c r="F1263" s="9">
        <f t="shared" si="34"/>
        <v>0</v>
      </c>
    </row>
    <row r="1264" spans="2:6" x14ac:dyDescent="0.2">
      <c r="B1264" s="86"/>
      <c r="C1264" s="2" t="s">
        <v>174</v>
      </c>
      <c r="D1264" s="45"/>
      <c r="E1264" s="2"/>
      <c r="F1264" s="9">
        <f t="shared" si="34"/>
        <v>0</v>
      </c>
    </row>
    <row r="1265" spans="2:6" x14ac:dyDescent="0.2">
      <c r="B1265" s="88"/>
      <c r="C1265" s="2" t="s">
        <v>175</v>
      </c>
      <c r="D1265" s="45"/>
      <c r="E1265" s="2"/>
      <c r="F1265" s="9">
        <f t="shared" si="34"/>
        <v>0</v>
      </c>
    </row>
    <row r="1266" spans="2:6" x14ac:dyDescent="0.2">
      <c r="B1266" s="86"/>
      <c r="C1266" s="2" t="s">
        <v>172</v>
      </c>
      <c r="D1266" s="45"/>
      <c r="E1266" s="2"/>
      <c r="F1266" s="9">
        <f t="shared" si="34"/>
        <v>0</v>
      </c>
    </row>
    <row r="1267" spans="2:6" x14ac:dyDescent="0.2">
      <c r="B1267" s="86"/>
      <c r="C1267" s="56" t="s">
        <v>142</v>
      </c>
      <c r="D1267" s="45"/>
      <c r="E1267" s="2"/>
      <c r="F1267" s="9">
        <f t="shared" si="34"/>
        <v>0</v>
      </c>
    </row>
    <row r="1268" spans="2:6" x14ac:dyDescent="0.2">
      <c r="B1268" s="86"/>
      <c r="C1268" s="2" t="s">
        <v>146</v>
      </c>
      <c r="D1268" s="45"/>
      <c r="E1268" s="2"/>
      <c r="F1268" s="9">
        <f t="shared" si="34"/>
        <v>0</v>
      </c>
    </row>
    <row r="1269" spans="2:6" x14ac:dyDescent="0.2">
      <c r="B1269" s="86"/>
      <c r="C1269" s="2" t="s">
        <v>121</v>
      </c>
      <c r="D1269" s="45"/>
      <c r="E1269" s="2"/>
      <c r="F1269" s="9">
        <f t="shared" si="34"/>
        <v>0</v>
      </c>
    </row>
    <row r="1270" spans="2:6" x14ac:dyDescent="0.2">
      <c r="B1270" s="86"/>
      <c r="C1270" s="2" t="s">
        <v>122</v>
      </c>
      <c r="D1270" s="45"/>
      <c r="E1270" s="2"/>
      <c r="F1270" s="9">
        <f t="shared" si="34"/>
        <v>0</v>
      </c>
    </row>
    <row r="1271" spans="2:6" x14ac:dyDescent="0.2">
      <c r="B1271" s="86"/>
      <c r="C1271" s="2" t="s">
        <v>143</v>
      </c>
      <c r="D1271" s="45"/>
      <c r="E1271" s="2"/>
      <c r="F1271" s="9">
        <f t="shared" si="34"/>
        <v>0</v>
      </c>
    </row>
    <row r="1272" spans="2:6" x14ac:dyDescent="0.2">
      <c r="B1272" s="86"/>
      <c r="C1272" s="2" t="s">
        <v>126</v>
      </c>
      <c r="D1272" s="45"/>
      <c r="E1272" s="2"/>
      <c r="F1272" s="9">
        <f t="shared" si="34"/>
        <v>0</v>
      </c>
    </row>
    <row r="1273" spans="2:6" x14ac:dyDescent="0.2">
      <c r="B1273" s="86"/>
      <c r="C1273" s="2" t="s">
        <v>153</v>
      </c>
      <c r="D1273" s="45"/>
      <c r="E1273" s="2"/>
      <c r="F1273" s="9">
        <f t="shared" si="34"/>
        <v>0</v>
      </c>
    </row>
    <row r="1274" spans="2:6" x14ac:dyDescent="0.2">
      <c r="B1274" s="86"/>
      <c r="C1274" s="2" t="s">
        <v>141</v>
      </c>
      <c r="D1274" s="45"/>
      <c r="E1274" s="2"/>
      <c r="F1274" s="9">
        <f t="shared" si="34"/>
        <v>0</v>
      </c>
    </row>
    <row r="1275" spans="2:6" x14ac:dyDescent="0.2">
      <c r="B1275" s="86"/>
      <c r="C1275" s="2" t="s">
        <v>144</v>
      </c>
      <c r="D1275" s="45"/>
      <c r="E1275" s="2"/>
      <c r="F1275" s="9">
        <f t="shared" si="34"/>
        <v>0</v>
      </c>
    </row>
    <row r="1276" spans="2:6" x14ac:dyDescent="0.2">
      <c r="B1276" s="87"/>
      <c r="C1276" s="2" t="s">
        <v>147</v>
      </c>
      <c r="D1276" s="45"/>
      <c r="E1276" s="2"/>
      <c r="F1276" s="9">
        <f t="shared" si="34"/>
        <v>0</v>
      </c>
    </row>
    <row r="1277" spans="2:6" x14ac:dyDescent="0.2">
      <c r="B1277" s="86"/>
      <c r="C1277" s="2" t="s">
        <v>173</v>
      </c>
      <c r="D1277" s="45"/>
      <c r="E1277" s="2"/>
      <c r="F1277" s="9">
        <f t="shared" si="34"/>
        <v>0</v>
      </c>
    </row>
    <row r="1278" spans="2:6" x14ac:dyDescent="0.2">
      <c r="B1278" s="86"/>
      <c r="C1278" s="2" t="s">
        <v>159</v>
      </c>
      <c r="D1278" s="45"/>
      <c r="E1278" s="2"/>
      <c r="F1278" s="9">
        <f t="shared" si="34"/>
        <v>0</v>
      </c>
    </row>
    <row r="1279" spans="2:6" x14ac:dyDescent="0.2">
      <c r="B1279" s="86"/>
      <c r="C1279" s="2" t="s">
        <v>148</v>
      </c>
      <c r="D1279" s="45"/>
      <c r="E1279" s="2"/>
      <c r="F1279" s="9">
        <f t="shared" si="34"/>
        <v>0</v>
      </c>
    </row>
    <row r="1280" spans="2:6" x14ac:dyDescent="0.2">
      <c r="B1280" s="86"/>
      <c r="C1280" s="2"/>
      <c r="D1280" s="45"/>
      <c r="E1280" s="2"/>
      <c r="F1280" s="9">
        <f t="shared" si="34"/>
        <v>0</v>
      </c>
    </row>
    <row r="1281" spans="1:6" x14ac:dyDescent="0.2">
      <c r="B1281" s="86"/>
      <c r="C1281" s="2"/>
      <c r="D1281" s="45"/>
      <c r="E1281" s="2"/>
      <c r="F1281" s="9">
        <f t="shared" si="34"/>
        <v>0</v>
      </c>
    </row>
    <row r="1282" spans="1:6" x14ac:dyDescent="0.2">
      <c r="B1282" s="86"/>
      <c r="C1282" s="2"/>
      <c r="D1282" s="45"/>
      <c r="E1282" s="2"/>
      <c r="F1282" s="9">
        <f t="shared" si="34"/>
        <v>0</v>
      </c>
    </row>
    <row r="1283" spans="1:6" x14ac:dyDescent="0.2">
      <c r="B1283" s="86"/>
      <c r="C1283" s="2"/>
      <c r="D1283" s="45"/>
      <c r="E1283" s="2"/>
      <c r="F1283" s="9">
        <f t="shared" si="34"/>
        <v>0</v>
      </c>
    </row>
    <row r="1284" spans="1:6" x14ac:dyDescent="0.2">
      <c r="B1284" s="86"/>
      <c r="C1284" s="56"/>
      <c r="D1284" s="45"/>
      <c r="E1284" s="2"/>
      <c r="F1284" s="9">
        <f t="shared" si="34"/>
        <v>0</v>
      </c>
    </row>
    <row r="1285" spans="1:6" x14ac:dyDescent="0.2">
      <c r="B1285" s="8"/>
      <c r="C1285" s="159"/>
      <c r="D1285" s="160"/>
      <c r="E1285" s="161"/>
      <c r="F1285" s="70"/>
    </row>
    <row r="1286" spans="1:6" ht="15.75" thickBot="1" x14ac:dyDescent="0.25">
      <c r="B1286" s="144" t="s">
        <v>11</v>
      </c>
      <c r="C1286" s="145"/>
      <c r="D1286" s="145"/>
      <c r="E1286" s="146"/>
      <c r="F1286" s="10">
        <f>SUM(F1251:F1285)</f>
        <v>0</v>
      </c>
    </row>
    <row r="1287" spans="1:6" x14ac:dyDescent="0.2">
      <c r="B1287" s="153" t="s">
        <v>7</v>
      </c>
      <c r="C1287" s="154"/>
      <c r="D1287" s="154"/>
      <c r="E1287" s="155"/>
      <c r="F1287" s="17"/>
    </row>
    <row r="1288" spans="1:6" x14ac:dyDescent="0.2">
      <c r="B1288" s="147" t="s">
        <v>8</v>
      </c>
      <c r="C1288" s="148"/>
      <c r="D1288" s="148"/>
      <c r="E1288" s="149"/>
      <c r="F1288" s="28">
        <f>F1286+F1287</f>
        <v>0</v>
      </c>
    </row>
    <row r="1289" spans="1:6" x14ac:dyDescent="0.2">
      <c r="B1289" s="147" t="s">
        <v>9</v>
      </c>
      <c r="C1289" s="148"/>
      <c r="D1289" s="148"/>
      <c r="E1289" s="149"/>
      <c r="F1289" s="39"/>
    </row>
    <row r="1290" spans="1:6" ht="15.75" thickBot="1" x14ac:dyDescent="0.25">
      <c r="B1290" s="150" t="s">
        <v>10</v>
      </c>
      <c r="C1290" s="151"/>
      <c r="D1290" s="151"/>
      <c r="E1290" s="152"/>
      <c r="F1290" s="12">
        <f>F1289-F1288</f>
        <v>0</v>
      </c>
    </row>
    <row r="1291" spans="1:6" ht="15.75" thickBot="1" x14ac:dyDescent="0.25"/>
    <row r="1292" spans="1:6" x14ac:dyDescent="0.2">
      <c r="A1292" s="27" t="s">
        <v>83</v>
      </c>
      <c r="B1292" s="6" t="s">
        <v>2</v>
      </c>
      <c r="C1292" s="156">
        <f>C1246</f>
        <v>0</v>
      </c>
      <c r="D1292" s="157"/>
      <c r="E1292" s="157"/>
      <c r="F1292" s="158"/>
    </row>
    <row r="1293" spans="1:6" x14ac:dyDescent="0.2">
      <c r="B1293" s="7" t="s">
        <v>0</v>
      </c>
      <c r="C1293" s="142" t="s">
        <v>119</v>
      </c>
      <c r="D1293" s="142"/>
      <c r="E1293" s="142"/>
      <c r="F1293" s="143"/>
    </row>
    <row r="1294" spans="1:6" x14ac:dyDescent="0.2">
      <c r="B1294" s="7" t="s">
        <v>1</v>
      </c>
      <c r="C1294" s="142"/>
      <c r="D1294" s="142"/>
      <c r="E1294" s="142"/>
      <c r="F1294" s="143"/>
    </row>
    <row r="1295" spans="1:6" ht="15.75" thickBot="1" x14ac:dyDescent="0.25">
      <c r="B1295" s="7"/>
      <c r="C1295" s="162"/>
      <c r="D1295" s="162"/>
      <c r="E1295" s="162"/>
      <c r="F1295" s="163"/>
    </row>
    <row r="1296" spans="1:6" x14ac:dyDescent="0.2">
      <c r="B1296" s="91" t="s">
        <v>108</v>
      </c>
      <c r="C1296" s="92" t="s">
        <v>3</v>
      </c>
      <c r="D1296" s="92" t="s">
        <v>4</v>
      </c>
      <c r="E1296" s="93"/>
      <c r="F1296" s="94" t="s">
        <v>5</v>
      </c>
    </row>
    <row r="1297" spans="2:6" x14ac:dyDescent="0.2">
      <c r="B1297" s="8"/>
      <c r="C1297" s="35" t="s">
        <v>67</v>
      </c>
      <c r="D1297" s="60"/>
      <c r="E1297" s="2">
        <v>3750</v>
      </c>
      <c r="F1297" s="9">
        <f t="shared" ref="F1297:F1330" si="35">(B1297-D1297) *E1297</f>
        <v>0</v>
      </c>
    </row>
    <row r="1298" spans="2:6" x14ac:dyDescent="0.2">
      <c r="B1298" s="87"/>
      <c r="C1298" s="1" t="s">
        <v>14</v>
      </c>
      <c r="D1298" s="80"/>
      <c r="E1298" s="56">
        <v>9250</v>
      </c>
      <c r="F1298" s="81">
        <f t="shared" si="35"/>
        <v>0</v>
      </c>
    </row>
    <row r="1299" spans="2:6" x14ac:dyDescent="0.2">
      <c r="B1299" s="86"/>
      <c r="C1299" s="1" t="s">
        <v>15</v>
      </c>
      <c r="D1299" s="45"/>
      <c r="E1299" s="2">
        <v>4750</v>
      </c>
      <c r="F1299" s="9">
        <f t="shared" si="35"/>
        <v>0</v>
      </c>
    </row>
    <row r="1300" spans="2:6" x14ac:dyDescent="0.2">
      <c r="B1300" s="86"/>
      <c r="C1300" s="1" t="s">
        <v>62</v>
      </c>
      <c r="D1300" s="45"/>
      <c r="E1300" s="2">
        <v>17000</v>
      </c>
      <c r="F1300" s="9">
        <f t="shared" si="35"/>
        <v>0</v>
      </c>
    </row>
    <row r="1301" spans="2:6" x14ac:dyDescent="0.2">
      <c r="B1301" s="86"/>
      <c r="C1301" s="1" t="s">
        <v>18</v>
      </c>
      <c r="D1301" s="45"/>
      <c r="E1301" s="2">
        <v>73000</v>
      </c>
      <c r="F1301" s="9">
        <f t="shared" si="35"/>
        <v>0</v>
      </c>
    </row>
    <row r="1302" spans="2:6" x14ac:dyDescent="0.2">
      <c r="B1302" s="86"/>
      <c r="C1302" s="1" t="s">
        <v>139</v>
      </c>
      <c r="D1302" s="45"/>
      <c r="E1302" s="2">
        <v>80000</v>
      </c>
      <c r="F1302" s="9">
        <f t="shared" si="35"/>
        <v>0</v>
      </c>
    </row>
    <row r="1303" spans="2:6" x14ac:dyDescent="0.2">
      <c r="B1303" s="86"/>
      <c r="C1303" s="1" t="s">
        <v>123</v>
      </c>
      <c r="D1303" s="45"/>
      <c r="E1303" s="2">
        <v>2200</v>
      </c>
      <c r="F1303" s="9">
        <f t="shared" si="35"/>
        <v>0</v>
      </c>
    </row>
    <row r="1304" spans="2:6" x14ac:dyDescent="0.2">
      <c r="B1304" s="86"/>
      <c r="C1304" s="1" t="s">
        <v>151</v>
      </c>
      <c r="D1304" s="45"/>
      <c r="E1304" s="2">
        <v>3120</v>
      </c>
      <c r="F1304" s="9">
        <f t="shared" si="35"/>
        <v>0</v>
      </c>
    </row>
    <row r="1305" spans="2:6" x14ac:dyDescent="0.2">
      <c r="B1305" s="86"/>
      <c r="C1305" s="2" t="s">
        <v>74</v>
      </c>
      <c r="D1305" s="45"/>
      <c r="E1305" s="2">
        <v>3700</v>
      </c>
      <c r="F1305" s="9">
        <f t="shared" si="35"/>
        <v>0</v>
      </c>
    </row>
    <row r="1306" spans="2:6" x14ac:dyDescent="0.2">
      <c r="B1306" s="86"/>
      <c r="C1306" s="2" t="s">
        <v>79</v>
      </c>
      <c r="D1306" s="45"/>
      <c r="E1306" s="2">
        <v>4500</v>
      </c>
      <c r="F1306" s="9">
        <f t="shared" si="35"/>
        <v>0</v>
      </c>
    </row>
    <row r="1307" spans="2:6" x14ac:dyDescent="0.2">
      <c r="B1307" s="86"/>
      <c r="C1307" s="2" t="s">
        <v>145</v>
      </c>
      <c r="D1307" s="45"/>
      <c r="E1307" s="2">
        <v>3700</v>
      </c>
      <c r="F1307" s="9">
        <f t="shared" si="35"/>
        <v>0</v>
      </c>
    </row>
    <row r="1308" spans="2:6" x14ac:dyDescent="0.2">
      <c r="B1308" s="86"/>
      <c r="C1308" s="2" t="s">
        <v>152</v>
      </c>
      <c r="D1308" s="45"/>
      <c r="E1308" s="2">
        <v>54000</v>
      </c>
      <c r="F1308" s="9">
        <f t="shared" si="35"/>
        <v>0</v>
      </c>
    </row>
    <row r="1309" spans="2:6" x14ac:dyDescent="0.2">
      <c r="B1309" s="86"/>
      <c r="C1309" s="2" t="s">
        <v>166</v>
      </c>
      <c r="D1309" s="45"/>
      <c r="E1309" s="2"/>
      <c r="F1309" s="9">
        <f t="shared" si="35"/>
        <v>0</v>
      </c>
    </row>
    <row r="1310" spans="2:6" x14ac:dyDescent="0.2">
      <c r="B1310" s="86"/>
      <c r="C1310" s="2" t="s">
        <v>174</v>
      </c>
      <c r="D1310" s="45"/>
      <c r="E1310" s="2"/>
      <c r="F1310" s="9">
        <f t="shared" si="35"/>
        <v>0</v>
      </c>
    </row>
    <row r="1311" spans="2:6" x14ac:dyDescent="0.2">
      <c r="B1311" s="88"/>
      <c r="C1311" s="2" t="s">
        <v>175</v>
      </c>
      <c r="D1311" s="45"/>
      <c r="E1311" s="2"/>
      <c r="F1311" s="9">
        <f t="shared" si="35"/>
        <v>0</v>
      </c>
    </row>
    <row r="1312" spans="2:6" x14ac:dyDescent="0.2">
      <c r="B1312" s="86"/>
      <c r="C1312" s="2" t="s">
        <v>172</v>
      </c>
      <c r="D1312" s="45"/>
      <c r="E1312" s="2"/>
      <c r="F1312" s="9">
        <f t="shared" si="35"/>
        <v>0</v>
      </c>
    </row>
    <row r="1313" spans="2:6" x14ac:dyDescent="0.2">
      <c r="B1313" s="86"/>
      <c r="C1313" s="56" t="s">
        <v>142</v>
      </c>
      <c r="D1313" s="45"/>
      <c r="E1313" s="2"/>
      <c r="F1313" s="9">
        <f t="shared" si="35"/>
        <v>0</v>
      </c>
    </row>
    <row r="1314" spans="2:6" x14ac:dyDescent="0.2">
      <c r="B1314" s="86"/>
      <c r="C1314" s="2" t="s">
        <v>146</v>
      </c>
      <c r="D1314" s="45"/>
      <c r="E1314" s="2"/>
      <c r="F1314" s="9">
        <f t="shared" si="35"/>
        <v>0</v>
      </c>
    </row>
    <row r="1315" spans="2:6" x14ac:dyDescent="0.2">
      <c r="B1315" s="86"/>
      <c r="C1315" s="2" t="s">
        <v>121</v>
      </c>
      <c r="D1315" s="45"/>
      <c r="E1315" s="2"/>
      <c r="F1315" s="9">
        <f t="shared" si="35"/>
        <v>0</v>
      </c>
    </row>
    <row r="1316" spans="2:6" x14ac:dyDescent="0.2">
      <c r="B1316" s="86"/>
      <c r="C1316" s="2" t="s">
        <v>122</v>
      </c>
      <c r="D1316" s="45"/>
      <c r="E1316" s="2"/>
      <c r="F1316" s="9">
        <f t="shared" si="35"/>
        <v>0</v>
      </c>
    </row>
    <row r="1317" spans="2:6" x14ac:dyDescent="0.2">
      <c r="B1317" s="86"/>
      <c r="C1317" s="2" t="s">
        <v>143</v>
      </c>
      <c r="D1317" s="45"/>
      <c r="E1317" s="2"/>
      <c r="F1317" s="9">
        <f t="shared" si="35"/>
        <v>0</v>
      </c>
    </row>
    <row r="1318" spans="2:6" x14ac:dyDescent="0.2">
      <c r="B1318" s="86"/>
      <c r="C1318" s="2" t="s">
        <v>126</v>
      </c>
      <c r="D1318" s="45"/>
      <c r="E1318" s="2"/>
      <c r="F1318" s="9">
        <f t="shared" si="35"/>
        <v>0</v>
      </c>
    </row>
    <row r="1319" spans="2:6" x14ac:dyDescent="0.2">
      <c r="B1319" s="86"/>
      <c r="C1319" s="2" t="s">
        <v>153</v>
      </c>
      <c r="D1319" s="45"/>
      <c r="E1319" s="2"/>
      <c r="F1319" s="9">
        <f t="shared" si="35"/>
        <v>0</v>
      </c>
    </row>
    <row r="1320" spans="2:6" x14ac:dyDescent="0.2">
      <c r="B1320" s="86"/>
      <c r="C1320" s="2" t="s">
        <v>141</v>
      </c>
      <c r="D1320" s="45"/>
      <c r="E1320" s="2"/>
      <c r="F1320" s="9">
        <f t="shared" si="35"/>
        <v>0</v>
      </c>
    </row>
    <row r="1321" spans="2:6" x14ac:dyDescent="0.2">
      <c r="B1321" s="86"/>
      <c r="C1321" s="2" t="s">
        <v>144</v>
      </c>
      <c r="D1321" s="45"/>
      <c r="E1321" s="2"/>
      <c r="F1321" s="9">
        <f t="shared" si="35"/>
        <v>0</v>
      </c>
    </row>
    <row r="1322" spans="2:6" x14ac:dyDescent="0.2">
      <c r="B1322" s="87"/>
      <c r="C1322" s="2" t="s">
        <v>147</v>
      </c>
      <c r="D1322" s="45"/>
      <c r="E1322" s="2"/>
      <c r="F1322" s="9">
        <f t="shared" si="35"/>
        <v>0</v>
      </c>
    </row>
    <row r="1323" spans="2:6" x14ac:dyDescent="0.2">
      <c r="B1323" s="86"/>
      <c r="C1323" s="2" t="s">
        <v>173</v>
      </c>
      <c r="D1323" s="45"/>
      <c r="E1323" s="2"/>
      <c r="F1323" s="9">
        <f t="shared" si="35"/>
        <v>0</v>
      </c>
    </row>
    <row r="1324" spans="2:6" x14ac:dyDescent="0.2">
      <c r="B1324" s="86"/>
      <c r="C1324" s="2" t="s">
        <v>159</v>
      </c>
      <c r="D1324" s="45"/>
      <c r="E1324" s="2"/>
      <c r="F1324" s="9">
        <f t="shared" si="35"/>
        <v>0</v>
      </c>
    </row>
    <row r="1325" spans="2:6" x14ac:dyDescent="0.2">
      <c r="B1325" s="86"/>
      <c r="C1325" s="2" t="s">
        <v>148</v>
      </c>
      <c r="D1325" s="45"/>
      <c r="E1325" s="2"/>
      <c r="F1325" s="9">
        <f t="shared" si="35"/>
        <v>0</v>
      </c>
    </row>
    <row r="1326" spans="2:6" x14ac:dyDescent="0.2">
      <c r="B1326" s="86"/>
      <c r="C1326" s="2"/>
      <c r="D1326" s="45"/>
      <c r="E1326" s="2"/>
      <c r="F1326" s="9">
        <f t="shared" si="35"/>
        <v>0</v>
      </c>
    </row>
    <row r="1327" spans="2:6" x14ac:dyDescent="0.2">
      <c r="B1327" s="86"/>
      <c r="C1327" s="2"/>
      <c r="D1327" s="45"/>
      <c r="E1327" s="2"/>
      <c r="F1327" s="9">
        <f t="shared" si="35"/>
        <v>0</v>
      </c>
    </row>
    <row r="1328" spans="2:6" x14ac:dyDescent="0.2">
      <c r="B1328" s="86"/>
      <c r="C1328" s="2"/>
      <c r="D1328" s="45"/>
      <c r="E1328" s="2"/>
      <c r="F1328" s="9">
        <f t="shared" si="35"/>
        <v>0</v>
      </c>
    </row>
    <row r="1329" spans="1:6" x14ac:dyDescent="0.2">
      <c r="B1329" s="86"/>
      <c r="C1329" s="2"/>
      <c r="D1329" s="45"/>
      <c r="E1329" s="2"/>
      <c r="F1329" s="9">
        <f t="shared" si="35"/>
        <v>0</v>
      </c>
    </row>
    <row r="1330" spans="1:6" x14ac:dyDescent="0.2">
      <c r="B1330" s="86"/>
      <c r="C1330" s="56"/>
      <c r="D1330" s="45"/>
      <c r="E1330" s="2"/>
      <c r="F1330" s="9">
        <f t="shared" si="35"/>
        <v>0</v>
      </c>
    </row>
    <row r="1331" spans="1:6" x14ac:dyDescent="0.2">
      <c r="B1331" s="8"/>
      <c r="C1331" s="159"/>
      <c r="D1331" s="160"/>
      <c r="E1331" s="161"/>
      <c r="F1331" s="70"/>
    </row>
    <row r="1332" spans="1:6" ht="15.75" thickBot="1" x14ac:dyDescent="0.25">
      <c r="B1332" s="144" t="s">
        <v>11</v>
      </c>
      <c r="C1332" s="145"/>
      <c r="D1332" s="145"/>
      <c r="E1332" s="146"/>
      <c r="F1332" s="10">
        <f>SUM(F1297:F1331)</f>
        <v>0</v>
      </c>
    </row>
    <row r="1333" spans="1:6" x14ac:dyDescent="0.2">
      <c r="B1333" s="153" t="s">
        <v>7</v>
      </c>
      <c r="C1333" s="154"/>
      <c r="D1333" s="154"/>
      <c r="E1333" s="155"/>
      <c r="F1333" s="17"/>
    </row>
    <row r="1334" spans="1:6" x14ac:dyDescent="0.2">
      <c r="B1334" s="147" t="s">
        <v>8</v>
      </c>
      <c r="C1334" s="148"/>
      <c r="D1334" s="148"/>
      <c r="E1334" s="149"/>
      <c r="F1334" s="28">
        <f>F1332+F1333</f>
        <v>0</v>
      </c>
    </row>
    <row r="1335" spans="1:6" x14ac:dyDescent="0.2">
      <c r="B1335" s="147" t="s">
        <v>9</v>
      </c>
      <c r="C1335" s="148"/>
      <c r="D1335" s="148"/>
      <c r="E1335" s="149"/>
      <c r="F1335" s="39"/>
    </row>
    <row r="1336" spans="1:6" ht="15.75" thickBot="1" x14ac:dyDescent="0.25">
      <c r="B1336" s="150" t="s">
        <v>10</v>
      </c>
      <c r="C1336" s="151"/>
      <c r="D1336" s="151"/>
      <c r="E1336" s="152"/>
      <c r="F1336" s="12">
        <f>F1335-F1334</f>
        <v>0</v>
      </c>
    </row>
    <row r="1337" spans="1:6" ht="15.75" thickBot="1" x14ac:dyDescent="0.25">
      <c r="F1337" s="39"/>
    </row>
    <row r="1338" spans="1:6" x14ac:dyDescent="0.2">
      <c r="A1338" s="27" t="s">
        <v>84</v>
      </c>
      <c r="B1338" s="6" t="s">
        <v>2</v>
      </c>
      <c r="C1338" s="156">
        <f>C1292</f>
        <v>0</v>
      </c>
      <c r="D1338" s="157"/>
      <c r="E1338" s="157"/>
      <c r="F1338" s="158"/>
    </row>
    <row r="1339" spans="1:6" x14ac:dyDescent="0.2">
      <c r="B1339" s="7" t="s">
        <v>0</v>
      </c>
      <c r="C1339" s="142" t="s">
        <v>128</v>
      </c>
      <c r="D1339" s="142"/>
      <c r="E1339" s="142"/>
      <c r="F1339" s="143"/>
    </row>
    <row r="1340" spans="1:6" x14ac:dyDescent="0.2">
      <c r="B1340" s="7" t="s">
        <v>1</v>
      </c>
      <c r="C1340" s="142"/>
      <c r="D1340" s="142"/>
      <c r="E1340" s="142"/>
      <c r="F1340" s="143"/>
    </row>
    <row r="1341" spans="1:6" ht="15.75" thickBot="1" x14ac:dyDescent="0.25">
      <c r="B1341" s="7"/>
      <c r="C1341" s="162"/>
      <c r="D1341" s="162"/>
      <c r="E1341" s="162"/>
      <c r="F1341" s="163"/>
    </row>
    <row r="1342" spans="1:6" x14ac:dyDescent="0.2">
      <c r="B1342" s="91" t="s">
        <v>108</v>
      </c>
      <c r="C1342" s="92" t="s">
        <v>3</v>
      </c>
      <c r="D1342" s="92" t="s">
        <v>4</v>
      </c>
      <c r="E1342" s="93"/>
      <c r="F1342" s="94" t="s">
        <v>5</v>
      </c>
    </row>
    <row r="1343" spans="1:6" x14ac:dyDescent="0.2">
      <c r="B1343" s="8"/>
      <c r="C1343" s="35" t="s">
        <v>67</v>
      </c>
      <c r="D1343" s="60"/>
      <c r="E1343" s="2">
        <v>3750</v>
      </c>
      <c r="F1343" s="9">
        <f t="shared" ref="F1343:F1376" si="36">(B1343-D1343) *E1343</f>
        <v>0</v>
      </c>
    </row>
    <row r="1344" spans="1:6" x14ac:dyDescent="0.2">
      <c r="B1344" s="87"/>
      <c r="C1344" s="1" t="s">
        <v>14</v>
      </c>
      <c r="D1344" s="80"/>
      <c r="E1344" s="56">
        <v>9250</v>
      </c>
      <c r="F1344" s="81">
        <f t="shared" si="36"/>
        <v>0</v>
      </c>
    </row>
    <row r="1345" spans="2:6" x14ac:dyDescent="0.2">
      <c r="B1345" s="86"/>
      <c r="C1345" s="1" t="s">
        <v>15</v>
      </c>
      <c r="D1345" s="45"/>
      <c r="E1345" s="2">
        <v>4750</v>
      </c>
      <c r="F1345" s="9">
        <f t="shared" si="36"/>
        <v>0</v>
      </c>
    </row>
    <row r="1346" spans="2:6" x14ac:dyDescent="0.2">
      <c r="B1346" s="86"/>
      <c r="C1346" s="1" t="s">
        <v>62</v>
      </c>
      <c r="D1346" s="45"/>
      <c r="E1346" s="2">
        <v>17000</v>
      </c>
      <c r="F1346" s="9">
        <f t="shared" si="36"/>
        <v>0</v>
      </c>
    </row>
    <row r="1347" spans="2:6" x14ac:dyDescent="0.2">
      <c r="B1347" s="86"/>
      <c r="C1347" s="1" t="s">
        <v>18</v>
      </c>
      <c r="D1347" s="45"/>
      <c r="E1347" s="2">
        <v>73000</v>
      </c>
      <c r="F1347" s="9">
        <f t="shared" si="36"/>
        <v>0</v>
      </c>
    </row>
    <row r="1348" spans="2:6" x14ac:dyDescent="0.2">
      <c r="B1348" s="86"/>
      <c r="C1348" s="1" t="s">
        <v>139</v>
      </c>
      <c r="D1348" s="45"/>
      <c r="E1348" s="2">
        <v>80000</v>
      </c>
      <c r="F1348" s="9">
        <f t="shared" si="36"/>
        <v>0</v>
      </c>
    </row>
    <row r="1349" spans="2:6" x14ac:dyDescent="0.2">
      <c r="B1349" s="86"/>
      <c r="C1349" s="1" t="s">
        <v>123</v>
      </c>
      <c r="D1349" s="45"/>
      <c r="E1349" s="2">
        <v>2200</v>
      </c>
      <c r="F1349" s="9">
        <f t="shared" si="36"/>
        <v>0</v>
      </c>
    </row>
    <row r="1350" spans="2:6" x14ac:dyDescent="0.2">
      <c r="B1350" s="86"/>
      <c r="C1350" s="1" t="s">
        <v>151</v>
      </c>
      <c r="D1350" s="45"/>
      <c r="E1350" s="2">
        <v>3120</v>
      </c>
      <c r="F1350" s="9">
        <f t="shared" si="36"/>
        <v>0</v>
      </c>
    </row>
    <row r="1351" spans="2:6" x14ac:dyDescent="0.2">
      <c r="B1351" s="86"/>
      <c r="C1351" s="2" t="s">
        <v>74</v>
      </c>
      <c r="D1351" s="45"/>
      <c r="E1351" s="2">
        <v>3700</v>
      </c>
      <c r="F1351" s="9">
        <f t="shared" si="36"/>
        <v>0</v>
      </c>
    </row>
    <row r="1352" spans="2:6" x14ac:dyDescent="0.2">
      <c r="B1352" s="86"/>
      <c r="C1352" s="2" t="s">
        <v>79</v>
      </c>
      <c r="D1352" s="45"/>
      <c r="E1352" s="2">
        <v>4500</v>
      </c>
      <c r="F1352" s="9">
        <f t="shared" si="36"/>
        <v>0</v>
      </c>
    </row>
    <row r="1353" spans="2:6" x14ac:dyDescent="0.2">
      <c r="B1353" s="86"/>
      <c r="C1353" s="2" t="s">
        <v>145</v>
      </c>
      <c r="D1353" s="45"/>
      <c r="E1353" s="2">
        <v>3700</v>
      </c>
      <c r="F1353" s="9">
        <f t="shared" si="36"/>
        <v>0</v>
      </c>
    </row>
    <row r="1354" spans="2:6" x14ac:dyDescent="0.2">
      <c r="B1354" s="86"/>
      <c r="C1354" s="2" t="s">
        <v>152</v>
      </c>
      <c r="D1354" s="45"/>
      <c r="E1354" s="2">
        <v>54000</v>
      </c>
      <c r="F1354" s="9">
        <f t="shared" si="36"/>
        <v>0</v>
      </c>
    </row>
    <row r="1355" spans="2:6" x14ac:dyDescent="0.2">
      <c r="B1355" s="86"/>
      <c r="C1355" s="2" t="s">
        <v>166</v>
      </c>
      <c r="D1355" s="45"/>
      <c r="E1355" s="2"/>
      <c r="F1355" s="9">
        <f t="shared" si="36"/>
        <v>0</v>
      </c>
    </row>
    <row r="1356" spans="2:6" x14ac:dyDescent="0.2">
      <c r="B1356" s="86"/>
      <c r="C1356" s="2" t="s">
        <v>174</v>
      </c>
      <c r="D1356" s="45"/>
      <c r="E1356" s="2"/>
      <c r="F1356" s="9">
        <f t="shared" si="36"/>
        <v>0</v>
      </c>
    </row>
    <row r="1357" spans="2:6" x14ac:dyDescent="0.2">
      <c r="B1357" s="88"/>
      <c r="C1357" s="2" t="s">
        <v>175</v>
      </c>
      <c r="D1357" s="45"/>
      <c r="E1357" s="2"/>
      <c r="F1357" s="9">
        <f t="shared" si="36"/>
        <v>0</v>
      </c>
    </row>
    <row r="1358" spans="2:6" x14ac:dyDescent="0.2">
      <c r="B1358" s="86"/>
      <c r="C1358" s="2" t="s">
        <v>172</v>
      </c>
      <c r="D1358" s="45"/>
      <c r="E1358" s="2"/>
      <c r="F1358" s="9">
        <f t="shared" si="36"/>
        <v>0</v>
      </c>
    </row>
    <row r="1359" spans="2:6" x14ac:dyDescent="0.2">
      <c r="B1359" s="86"/>
      <c r="C1359" s="56" t="s">
        <v>142</v>
      </c>
      <c r="D1359" s="45"/>
      <c r="E1359" s="2"/>
      <c r="F1359" s="9">
        <f t="shared" si="36"/>
        <v>0</v>
      </c>
    </row>
    <row r="1360" spans="2:6" x14ac:dyDescent="0.2">
      <c r="B1360" s="86"/>
      <c r="C1360" s="2" t="s">
        <v>146</v>
      </c>
      <c r="D1360" s="45"/>
      <c r="E1360" s="2"/>
      <c r="F1360" s="9">
        <f t="shared" si="36"/>
        <v>0</v>
      </c>
    </row>
    <row r="1361" spans="2:6" x14ac:dyDescent="0.2">
      <c r="B1361" s="86"/>
      <c r="C1361" s="2" t="s">
        <v>121</v>
      </c>
      <c r="D1361" s="45"/>
      <c r="E1361" s="2"/>
      <c r="F1361" s="9">
        <f t="shared" si="36"/>
        <v>0</v>
      </c>
    </row>
    <row r="1362" spans="2:6" x14ac:dyDescent="0.2">
      <c r="B1362" s="86"/>
      <c r="C1362" s="2" t="s">
        <v>122</v>
      </c>
      <c r="D1362" s="45"/>
      <c r="E1362" s="2"/>
      <c r="F1362" s="9">
        <f t="shared" si="36"/>
        <v>0</v>
      </c>
    </row>
    <row r="1363" spans="2:6" x14ac:dyDescent="0.2">
      <c r="B1363" s="86"/>
      <c r="C1363" s="2" t="s">
        <v>143</v>
      </c>
      <c r="D1363" s="45"/>
      <c r="E1363" s="2"/>
      <c r="F1363" s="9">
        <f t="shared" si="36"/>
        <v>0</v>
      </c>
    </row>
    <row r="1364" spans="2:6" x14ac:dyDescent="0.2">
      <c r="B1364" s="86"/>
      <c r="C1364" s="2" t="s">
        <v>126</v>
      </c>
      <c r="D1364" s="45"/>
      <c r="E1364" s="2"/>
      <c r="F1364" s="9">
        <f t="shared" si="36"/>
        <v>0</v>
      </c>
    </row>
    <row r="1365" spans="2:6" x14ac:dyDescent="0.2">
      <c r="B1365" s="86"/>
      <c r="C1365" s="2" t="s">
        <v>153</v>
      </c>
      <c r="D1365" s="45"/>
      <c r="E1365" s="2"/>
      <c r="F1365" s="9">
        <f t="shared" si="36"/>
        <v>0</v>
      </c>
    </row>
    <row r="1366" spans="2:6" x14ac:dyDescent="0.2">
      <c r="B1366" s="86"/>
      <c r="C1366" s="2" t="s">
        <v>141</v>
      </c>
      <c r="D1366" s="45"/>
      <c r="E1366" s="2"/>
      <c r="F1366" s="9">
        <f t="shared" si="36"/>
        <v>0</v>
      </c>
    </row>
    <row r="1367" spans="2:6" x14ac:dyDescent="0.2">
      <c r="B1367" s="86"/>
      <c r="C1367" s="2" t="s">
        <v>144</v>
      </c>
      <c r="D1367" s="45"/>
      <c r="E1367" s="2"/>
      <c r="F1367" s="9">
        <f t="shared" si="36"/>
        <v>0</v>
      </c>
    </row>
    <row r="1368" spans="2:6" x14ac:dyDescent="0.2">
      <c r="B1368" s="87"/>
      <c r="C1368" s="2" t="s">
        <v>147</v>
      </c>
      <c r="D1368" s="45"/>
      <c r="E1368" s="2"/>
      <c r="F1368" s="9">
        <f t="shared" si="36"/>
        <v>0</v>
      </c>
    </row>
    <row r="1369" spans="2:6" x14ac:dyDescent="0.2">
      <c r="B1369" s="86"/>
      <c r="C1369" s="2" t="s">
        <v>173</v>
      </c>
      <c r="D1369" s="45"/>
      <c r="E1369" s="2"/>
      <c r="F1369" s="9">
        <f t="shared" si="36"/>
        <v>0</v>
      </c>
    </row>
    <row r="1370" spans="2:6" x14ac:dyDescent="0.2">
      <c r="B1370" s="86"/>
      <c r="C1370" s="2" t="s">
        <v>159</v>
      </c>
      <c r="D1370" s="45"/>
      <c r="E1370" s="2"/>
      <c r="F1370" s="9">
        <f t="shared" si="36"/>
        <v>0</v>
      </c>
    </row>
    <row r="1371" spans="2:6" x14ac:dyDescent="0.2">
      <c r="B1371" s="86"/>
      <c r="C1371" s="2" t="s">
        <v>148</v>
      </c>
      <c r="D1371" s="45"/>
      <c r="E1371" s="2"/>
      <c r="F1371" s="9">
        <f t="shared" si="36"/>
        <v>0</v>
      </c>
    </row>
    <row r="1372" spans="2:6" x14ac:dyDescent="0.2">
      <c r="B1372" s="86"/>
      <c r="C1372" s="2"/>
      <c r="D1372" s="45"/>
      <c r="E1372" s="2"/>
      <c r="F1372" s="9">
        <f t="shared" si="36"/>
        <v>0</v>
      </c>
    </row>
    <row r="1373" spans="2:6" x14ac:dyDescent="0.2">
      <c r="B1373" s="86"/>
      <c r="C1373" s="2"/>
      <c r="D1373" s="45"/>
      <c r="E1373" s="2"/>
      <c r="F1373" s="9">
        <f t="shared" si="36"/>
        <v>0</v>
      </c>
    </row>
    <row r="1374" spans="2:6" x14ac:dyDescent="0.2">
      <c r="B1374" s="86"/>
      <c r="C1374" s="2"/>
      <c r="D1374" s="45"/>
      <c r="E1374" s="2"/>
      <c r="F1374" s="9">
        <f t="shared" si="36"/>
        <v>0</v>
      </c>
    </row>
    <row r="1375" spans="2:6" x14ac:dyDescent="0.2">
      <c r="B1375" s="86"/>
      <c r="C1375" s="2"/>
      <c r="D1375" s="45"/>
      <c r="E1375" s="2"/>
      <c r="F1375" s="9">
        <f t="shared" si="36"/>
        <v>0</v>
      </c>
    </row>
    <row r="1376" spans="2:6" x14ac:dyDescent="0.2">
      <c r="B1376" s="86"/>
      <c r="C1376" s="56"/>
      <c r="D1376" s="45"/>
      <c r="E1376" s="2"/>
      <c r="F1376" s="9">
        <f t="shared" si="36"/>
        <v>0</v>
      </c>
    </row>
    <row r="1377" spans="1:6" x14ac:dyDescent="0.2">
      <c r="B1377" s="8"/>
      <c r="C1377" s="159"/>
      <c r="D1377" s="160"/>
      <c r="E1377" s="161"/>
      <c r="F1377" s="70"/>
    </row>
    <row r="1378" spans="1:6" ht="15.75" thickBot="1" x14ac:dyDescent="0.25">
      <c r="B1378" s="144" t="s">
        <v>11</v>
      </c>
      <c r="C1378" s="145"/>
      <c r="D1378" s="145"/>
      <c r="E1378" s="146"/>
      <c r="F1378" s="10">
        <f>SUM(F1343:F1377)</f>
        <v>0</v>
      </c>
    </row>
    <row r="1379" spans="1:6" x14ac:dyDescent="0.2">
      <c r="B1379" s="153" t="s">
        <v>7</v>
      </c>
      <c r="C1379" s="154"/>
      <c r="D1379" s="154"/>
      <c r="E1379" s="155"/>
      <c r="F1379" s="17"/>
    </row>
    <row r="1380" spans="1:6" x14ac:dyDescent="0.2">
      <c r="B1380" s="147" t="s">
        <v>8</v>
      </c>
      <c r="C1380" s="148"/>
      <c r="D1380" s="148"/>
      <c r="E1380" s="149"/>
      <c r="F1380" s="28">
        <f>F1378+F1379</f>
        <v>0</v>
      </c>
    </row>
    <row r="1381" spans="1:6" x14ac:dyDescent="0.2">
      <c r="B1381" s="147" t="s">
        <v>9</v>
      </c>
      <c r="C1381" s="148"/>
      <c r="D1381" s="148"/>
      <c r="E1381" s="149"/>
      <c r="F1381" s="39"/>
    </row>
    <row r="1382" spans="1:6" ht="15.75" thickBot="1" x14ac:dyDescent="0.25">
      <c r="B1382" s="150" t="s">
        <v>10</v>
      </c>
      <c r="C1382" s="151"/>
      <c r="D1382" s="151"/>
      <c r="E1382" s="152"/>
      <c r="F1382" s="12">
        <f>F1381-F1380</f>
        <v>0</v>
      </c>
    </row>
    <row r="1383" spans="1:6" ht="15.75" thickBot="1" x14ac:dyDescent="0.25"/>
    <row r="1384" spans="1:6" x14ac:dyDescent="0.2">
      <c r="A1384" s="27" t="s">
        <v>85</v>
      </c>
      <c r="B1384" s="6" t="s">
        <v>2</v>
      </c>
      <c r="C1384" s="156">
        <f>C1338</f>
        <v>0</v>
      </c>
      <c r="D1384" s="157"/>
      <c r="E1384" s="157"/>
      <c r="F1384" s="158"/>
    </row>
    <row r="1385" spans="1:6" x14ac:dyDescent="0.2">
      <c r="B1385" s="7" t="s">
        <v>0</v>
      </c>
      <c r="C1385" s="142" t="s">
        <v>105</v>
      </c>
      <c r="D1385" s="142"/>
      <c r="E1385" s="142"/>
      <c r="F1385" s="143"/>
    </row>
    <row r="1386" spans="1:6" x14ac:dyDescent="0.2">
      <c r="B1386" s="7" t="s">
        <v>1</v>
      </c>
      <c r="C1386" s="142"/>
      <c r="D1386" s="142"/>
      <c r="E1386" s="142"/>
      <c r="F1386" s="143"/>
    </row>
    <row r="1387" spans="1:6" ht="15.75" thickBot="1" x14ac:dyDescent="0.25">
      <c r="B1387" s="7"/>
      <c r="C1387" s="162"/>
      <c r="D1387" s="162"/>
      <c r="E1387" s="162"/>
      <c r="F1387" s="163"/>
    </row>
    <row r="1388" spans="1:6" x14ac:dyDescent="0.2">
      <c r="B1388" s="91" t="s">
        <v>108</v>
      </c>
      <c r="C1388" s="92" t="s">
        <v>3</v>
      </c>
      <c r="D1388" s="92" t="s">
        <v>4</v>
      </c>
      <c r="E1388" s="93"/>
      <c r="F1388" s="94" t="s">
        <v>5</v>
      </c>
    </row>
    <row r="1389" spans="1:6" x14ac:dyDescent="0.2">
      <c r="B1389" s="8"/>
      <c r="C1389" s="35" t="s">
        <v>67</v>
      </c>
      <c r="D1389" s="60"/>
      <c r="E1389" s="2">
        <v>3750</v>
      </c>
      <c r="F1389" s="9">
        <f t="shared" ref="F1389:F1422" si="37">(B1389-D1389) *E1389</f>
        <v>0</v>
      </c>
    </row>
    <row r="1390" spans="1:6" x14ac:dyDescent="0.2">
      <c r="B1390" s="87"/>
      <c r="C1390" s="1" t="s">
        <v>14</v>
      </c>
      <c r="D1390" s="80"/>
      <c r="E1390" s="56">
        <v>9250</v>
      </c>
      <c r="F1390" s="81">
        <f t="shared" si="37"/>
        <v>0</v>
      </c>
    </row>
    <row r="1391" spans="1:6" x14ac:dyDescent="0.2">
      <c r="B1391" s="86"/>
      <c r="C1391" s="1" t="s">
        <v>15</v>
      </c>
      <c r="D1391" s="45"/>
      <c r="E1391" s="2">
        <v>4750</v>
      </c>
      <c r="F1391" s="9">
        <f t="shared" si="37"/>
        <v>0</v>
      </c>
    </row>
    <row r="1392" spans="1:6" x14ac:dyDescent="0.2">
      <c r="B1392" s="86"/>
      <c r="C1392" s="1" t="s">
        <v>62</v>
      </c>
      <c r="D1392" s="45"/>
      <c r="E1392" s="2">
        <v>17000</v>
      </c>
      <c r="F1392" s="9">
        <f t="shared" si="37"/>
        <v>0</v>
      </c>
    </row>
    <row r="1393" spans="2:6" x14ac:dyDescent="0.2">
      <c r="B1393" s="86"/>
      <c r="C1393" s="1" t="s">
        <v>18</v>
      </c>
      <c r="D1393" s="45"/>
      <c r="E1393" s="2">
        <v>73000</v>
      </c>
      <c r="F1393" s="9">
        <f t="shared" si="37"/>
        <v>0</v>
      </c>
    </row>
    <row r="1394" spans="2:6" x14ac:dyDescent="0.2">
      <c r="B1394" s="86"/>
      <c r="C1394" s="1" t="s">
        <v>139</v>
      </c>
      <c r="D1394" s="45"/>
      <c r="E1394" s="2">
        <v>80000</v>
      </c>
      <c r="F1394" s="9">
        <f t="shared" si="37"/>
        <v>0</v>
      </c>
    </row>
    <row r="1395" spans="2:6" x14ac:dyDescent="0.2">
      <c r="B1395" s="86"/>
      <c r="C1395" s="1" t="s">
        <v>123</v>
      </c>
      <c r="D1395" s="45"/>
      <c r="E1395" s="2">
        <v>2200</v>
      </c>
      <c r="F1395" s="9">
        <f t="shared" si="37"/>
        <v>0</v>
      </c>
    </row>
    <row r="1396" spans="2:6" x14ac:dyDescent="0.2">
      <c r="B1396" s="86"/>
      <c r="C1396" s="1" t="s">
        <v>151</v>
      </c>
      <c r="D1396" s="45"/>
      <c r="E1396" s="2">
        <v>3120</v>
      </c>
      <c r="F1396" s="9">
        <f t="shared" si="37"/>
        <v>0</v>
      </c>
    </row>
    <row r="1397" spans="2:6" x14ac:dyDescent="0.2">
      <c r="B1397" s="86"/>
      <c r="C1397" s="2" t="s">
        <v>74</v>
      </c>
      <c r="D1397" s="45"/>
      <c r="E1397" s="2">
        <v>3700</v>
      </c>
      <c r="F1397" s="9">
        <f t="shared" si="37"/>
        <v>0</v>
      </c>
    </row>
    <row r="1398" spans="2:6" x14ac:dyDescent="0.2">
      <c r="B1398" s="86"/>
      <c r="C1398" s="2" t="s">
        <v>79</v>
      </c>
      <c r="D1398" s="45"/>
      <c r="E1398" s="2">
        <v>4500</v>
      </c>
      <c r="F1398" s="9">
        <f t="shared" si="37"/>
        <v>0</v>
      </c>
    </row>
    <row r="1399" spans="2:6" x14ac:dyDescent="0.2">
      <c r="B1399" s="86"/>
      <c r="C1399" s="2" t="s">
        <v>145</v>
      </c>
      <c r="D1399" s="45"/>
      <c r="E1399" s="2">
        <v>3700</v>
      </c>
      <c r="F1399" s="9">
        <f t="shared" si="37"/>
        <v>0</v>
      </c>
    </row>
    <row r="1400" spans="2:6" x14ac:dyDescent="0.2">
      <c r="B1400" s="86"/>
      <c r="C1400" s="2" t="s">
        <v>152</v>
      </c>
      <c r="D1400" s="45"/>
      <c r="E1400" s="2">
        <v>54000</v>
      </c>
      <c r="F1400" s="9">
        <f t="shared" si="37"/>
        <v>0</v>
      </c>
    </row>
    <row r="1401" spans="2:6" x14ac:dyDescent="0.2">
      <c r="B1401" s="86"/>
      <c r="C1401" s="2" t="s">
        <v>166</v>
      </c>
      <c r="D1401" s="45"/>
      <c r="E1401" s="2"/>
      <c r="F1401" s="9">
        <f t="shared" si="37"/>
        <v>0</v>
      </c>
    </row>
    <row r="1402" spans="2:6" x14ac:dyDescent="0.2">
      <c r="B1402" s="86"/>
      <c r="C1402" s="2" t="s">
        <v>174</v>
      </c>
      <c r="D1402" s="45"/>
      <c r="E1402" s="2"/>
      <c r="F1402" s="9">
        <f t="shared" si="37"/>
        <v>0</v>
      </c>
    </row>
    <row r="1403" spans="2:6" x14ac:dyDescent="0.2">
      <c r="B1403" s="88"/>
      <c r="C1403" s="2" t="s">
        <v>175</v>
      </c>
      <c r="D1403" s="45"/>
      <c r="E1403" s="2"/>
      <c r="F1403" s="9">
        <f t="shared" si="37"/>
        <v>0</v>
      </c>
    </row>
    <row r="1404" spans="2:6" x14ac:dyDescent="0.2">
      <c r="B1404" s="86"/>
      <c r="C1404" s="2" t="s">
        <v>172</v>
      </c>
      <c r="D1404" s="45"/>
      <c r="E1404" s="2"/>
      <c r="F1404" s="9">
        <f t="shared" si="37"/>
        <v>0</v>
      </c>
    </row>
    <row r="1405" spans="2:6" x14ac:dyDescent="0.2">
      <c r="B1405" s="86"/>
      <c r="C1405" s="56" t="s">
        <v>142</v>
      </c>
      <c r="D1405" s="45"/>
      <c r="E1405" s="2"/>
      <c r="F1405" s="9">
        <f t="shared" si="37"/>
        <v>0</v>
      </c>
    </row>
    <row r="1406" spans="2:6" x14ac:dyDescent="0.2">
      <c r="B1406" s="86"/>
      <c r="C1406" s="2" t="s">
        <v>146</v>
      </c>
      <c r="D1406" s="45"/>
      <c r="E1406" s="2"/>
      <c r="F1406" s="9">
        <f t="shared" si="37"/>
        <v>0</v>
      </c>
    </row>
    <row r="1407" spans="2:6" x14ac:dyDescent="0.2">
      <c r="B1407" s="86"/>
      <c r="C1407" s="2" t="s">
        <v>121</v>
      </c>
      <c r="D1407" s="45"/>
      <c r="E1407" s="2"/>
      <c r="F1407" s="9">
        <f t="shared" si="37"/>
        <v>0</v>
      </c>
    </row>
    <row r="1408" spans="2:6" x14ac:dyDescent="0.2">
      <c r="B1408" s="86"/>
      <c r="C1408" s="2" t="s">
        <v>122</v>
      </c>
      <c r="D1408" s="45"/>
      <c r="E1408" s="2"/>
      <c r="F1408" s="9">
        <f t="shared" si="37"/>
        <v>0</v>
      </c>
    </row>
    <row r="1409" spans="2:6" x14ac:dyDescent="0.2">
      <c r="B1409" s="86"/>
      <c r="C1409" s="2" t="s">
        <v>143</v>
      </c>
      <c r="D1409" s="45"/>
      <c r="E1409" s="2"/>
      <c r="F1409" s="9">
        <f t="shared" si="37"/>
        <v>0</v>
      </c>
    </row>
    <row r="1410" spans="2:6" x14ac:dyDescent="0.2">
      <c r="B1410" s="86"/>
      <c r="C1410" s="2" t="s">
        <v>126</v>
      </c>
      <c r="D1410" s="45"/>
      <c r="E1410" s="2"/>
      <c r="F1410" s="9">
        <f t="shared" si="37"/>
        <v>0</v>
      </c>
    </row>
    <row r="1411" spans="2:6" x14ac:dyDescent="0.2">
      <c r="B1411" s="86"/>
      <c r="C1411" s="2" t="s">
        <v>153</v>
      </c>
      <c r="D1411" s="45"/>
      <c r="E1411" s="2"/>
      <c r="F1411" s="9">
        <f t="shared" si="37"/>
        <v>0</v>
      </c>
    </row>
    <row r="1412" spans="2:6" x14ac:dyDescent="0.2">
      <c r="B1412" s="86"/>
      <c r="C1412" s="2" t="s">
        <v>141</v>
      </c>
      <c r="D1412" s="45"/>
      <c r="E1412" s="2"/>
      <c r="F1412" s="9">
        <f t="shared" si="37"/>
        <v>0</v>
      </c>
    </row>
    <row r="1413" spans="2:6" x14ac:dyDescent="0.2">
      <c r="B1413" s="86"/>
      <c r="C1413" s="2" t="s">
        <v>144</v>
      </c>
      <c r="D1413" s="45"/>
      <c r="E1413" s="2"/>
      <c r="F1413" s="9">
        <f t="shared" si="37"/>
        <v>0</v>
      </c>
    </row>
    <row r="1414" spans="2:6" x14ac:dyDescent="0.2">
      <c r="B1414" s="87"/>
      <c r="C1414" s="2" t="s">
        <v>147</v>
      </c>
      <c r="D1414" s="45"/>
      <c r="E1414" s="2"/>
      <c r="F1414" s="9">
        <f t="shared" si="37"/>
        <v>0</v>
      </c>
    </row>
    <row r="1415" spans="2:6" x14ac:dyDescent="0.2">
      <c r="B1415" s="86"/>
      <c r="C1415" s="2" t="s">
        <v>173</v>
      </c>
      <c r="D1415" s="45"/>
      <c r="E1415" s="2"/>
      <c r="F1415" s="9">
        <f t="shared" si="37"/>
        <v>0</v>
      </c>
    </row>
    <row r="1416" spans="2:6" x14ac:dyDescent="0.2">
      <c r="B1416" s="86"/>
      <c r="C1416" s="2" t="s">
        <v>159</v>
      </c>
      <c r="D1416" s="45"/>
      <c r="E1416" s="2"/>
      <c r="F1416" s="9">
        <f t="shared" si="37"/>
        <v>0</v>
      </c>
    </row>
    <row r="1417" spans="2:6" x14ac:dyDescent="0.2">
      <c r="B1417" s="86"/>
      <c r="C1417" s="2" t="s">
        <v>148</v>
      </c>
      <c r="D1417" s="45"/>
      <c r="E1417" s="2"/>
      <c r="F1417" s="9">
        <f t="shared" si="37"/>
        <v>0</v>
      </c>
    </row>
    <row r="1418" spans="2:6" x14ac:dyDescent="0.2">
      <c r="B1418" s="86"/>
      <c r="C1418" s="2"/>
      <c r="D1418" s="45"/>
      <c r="E1418" s="2"/>
      <c r="F1418" s="9">
        <f t="shared" si="37"/>
        <v>0</v>
      </c>
    </row>
    <row r="1419" spans="2:6" x14ac:dyDescent="0.2">
      <c r="B1419" s="86"/>
      <c r="C1419" s="2"/>
      <c r="D1419" s="45"/>
      <c r="E1419" s="2"/>
      <c r="F1419" s="9">
        <f t="shared" si="37"/>
        <v>0</v>
      </c>
    </row>
    <row r="1420" spans="2:6" x14ac:dyDescent="0.2">
      <c r="B1420" s="86"/>
      <c r="C1420" s="2"/>
      <c r="D1420" s="45"/>
      <c r="E1420" s="2"/>
      <c r="F1420" s="9">
        <f t="shared" si="37"/>
        <v>0</v>
      </c>
    </row>
    <row r="1421" spans="2:6" x14ac:dyDescent="0.2">
      <c r="B1421" s="86"/>
      <c r="C1421" s="2"/>
      <c r="D1421" s="45"/>
      <c r="E1421" s="2"/>
      <c r="F1421" s="9">
        <f t="shared" si="37"/>
        <v>0</v>
      </c>
    </row>
    <row r="1422" spans="2:6" x14ac:dyDescent="0.2">
      <c r="B1422" s="86"/>
      <c r="C1422" s="56"/>
      <c r="D1422" s="45"/>
      <c r="E1422" s="2"/>
      <c r="F1422" s="9">
        <f t="shared" si="37"/>
        <v>0</v>
      </c>
    </row>
    <row r="1423" spans="2:6" x14ac:dyDescent="0.2">
      <c r="B1423" s="8"/>
      <c r="C1423" s="159"/>
      <c r="D1423" s="160"/>
      <c r="E1423" s="161"/>
      <c r="F1423" s="70"/>
    </row>
    <row r="1424" spans="2:6" ht="15.75" thickBot="1" x14ac:dyDescent="0.25">
      <c r="B1424" s="144" t="s">
        <v>11</v>
      </c>
      <c r="C1424" s="145"/>
      <c r="D1424" s="145"/>
      <c r="E1424" s="146"/>
      <c r="F1424" s="10">
        <f>SUM(F1389:F1423)</f>
        <v>0</v>
      </c>
    </row>
    <row r="1425" spans="1:6" x14ac:dyDescent="0.2">
      <c r="B1425" s="153" t="s">
        <v>7</v>
      </c>
      <c r="C1425" s="154"/>
      <c r="D1425" s="154"/>
      <c r="E1425" s="155"/>
      <c r="F1425" s="17"/>
    </row>
    <row r="1426" spans="1:6" x14ac:dyDescent="0.2">
      <c r="B1426" s="147" t="s">
        <v>8</v>
      </c>
      <c r="C1426" s="148"/>
      <c r="D1426" s="148"/>
      <c r="E1426" s="149"/>
      <c r="F1426" s="28">
        <f>F1424+F1425</f>
        <v>0</v>
      </c>
    </row>
    <row r="1427" spans="1:6" x14ac:dyDescent="0.2">
      <c r="B1427" s="147" t="s">
        <v>9</v>
      </c>
      <c r="C1427" s="148"/>
      <c r="D1427" s="148"/>
      <c r="E1427" s="149"/>
      <c r="F1427" s="39"/>
    </row>
    <row r="1428" spans="1:6" ht="15.75" thickBot="1" x14ac:dyDescent="0.25">
      <c r="B1428" s="150" t="s">
        <v>10</v>
      </c>
      <c r="C1428" s="151"/>
      <c r="D1428" s="151"/>
      <c r="E1428" s="152"/>
      <c r="F1428" s="12">
        <f>F1427-F1426</f>
        <v>0</v>
      </c>
    </row>
    <row r="1429" spans="1:6" ht="15.75" thickBot="1" x14ac:dyDescent="0.25"/>
    <row r="1430" spans="1:6" x14ac:dyDescent="0.2">
      <c r="A1430" s="27" t="s">
        <v>86</v>
      </c>
      <c r="B1430" s="6" t="s">
        <v>2</v>
      </c>
      <c r="C1430" s="156">
        <f>C1384</f>
        <v>0</v>
      </c>
      <c r="D1430" s="157"/>
      <c r="E1430" s="157"/>
      <c r="F1430" s="158"/>
    </row>
    <row r="1431" spans="1:6" x14ac:dyDescent="0.2">
      <c r="B1431" s="7" t="s">
        <v>0</v>
      </c>
      <c r="C1431" s="142" t="s">
        <v>112</v>
      </c>
      <c r="D1431" s="142"/>
      <c r="E1431" s="142"/>
      <c r="F1431" s="143"/>
    </row>
    <row r="1432" spans="1:6" x14ac:dyDescent="0.2">
      <c r="B1432" s="7" t="s">
        <v>1</v>
      </c>
      <c r="C1432" s="142"/>
      <c r="D1432" s="142"/>
      <c r="E1432" s="142"/>
      <c r="F1432" s="143"/>
    </row>
    <row r="1433" spans="1:6" ht="15.75" thickBot="1" x14ac:dyDescent="0.25">
      <c r="B1433" s="7"/>
      <c r="C1433" s="162"/>
      <c r="D1433" s="162"/>
      <c r="E1433" s="162"/>
      <c r="F1433" s="163"/>
    </row>
    <row r="1434" spans="1:6" x14ac:dyDescent="0.2">
      <c r="B1434" s="91" t="s">
        <v>108</v>
      </c>
      <c r="C1434" s="92" t="s">
        <v>3</v>
      </c>
      <c r="D1434" s="92" t="s">
        <v>4</v>
      </c>
      <c r="E1434" s="93"/>
      <c r="F1434" s="94" t="s">
        <v>5</v>
      </c>
    </row>
    <row r="1435" spans="1:6" x14ac:dyDescent="0.2">
      <c r="B1435" s="8"/>
      <c r="C1435" s="35" t="s">
        <v>67</v>
      </c>
      <c r="D1435" s="60"/>
      <c r="E1435" s="2">
        <v>3750</v>
      </c>
      <c r="F1435" s="9">
        <f t="shared" ref="F1435:F1468" si="38">(B1435-D1435) *E1435</f>
        <v>0</v>
      </c>
    </row>
    <row r="1436" spans="1:6" x14ac:dyDescent="0.2">
      <c r="B1436" s="87"/>
      <c r="C1436" s="1" t="s">
        <v>14</v>
      </c>
      <c r="D1436" s="80"/>
      <c r="E1436" s="56">
        <v>9250</v>
      </c>
      <c r="F1436" s="81">
        <f t="shared" si="38"/>
        <v>0</v>
      </c>
    </row>
    <row r="1437" spans="1:6" x14ac:dyDescent="0.2">
      <c r="B1437" s="86"/>
      <c r="C1437" s="1" t="s">
        <v>15</v>
      </c>
      <c r="D1437" s="45"/>
      <c r="E1437" s="2">
        <v>4750</v>
      </c>
      <c r="F1437" s="9">
        <f t="shared" si="38"/>
        <v>0</v>
      </c>
    </row>
    <row r="1438" spans="1:6" x14ac:dyDescent="0.2">
      <c r="B1438" s="86"/>
      <c r="C1438" s="1" t="s">
        <v>62</v>
      </c>
      <c r="D1438" s="45"/>
      <c r="E1438" s="2">
        <v>17000</v>
      </c>
      <c r="F1438" s="9">
        <f t="shared" si="38"/>
        <v>0</v>
      </c>
    </row>
    <row r="1439" spans="1:6" x14ac:dyDescent="0.2">
      <c r="B1439" s="86"/>
      <c r="C1439" s="1" t="s">
        <v>18</v>
      </c>
      <c r="D1439" s="45"/>
      <c r="E1439" s="2">
        <v>73000</v>
      </c>
      <c r="F1439" s="9">
        <f t="shared" si="38"/>
        <v>0</v>
      </c>
    </row>
    <row r="1440" spans="1:6" x14ac:dyDescent="0.2">
      <c r="B1440" s="86"/>
      <c r="C1440" s="1" t="s">
        <v>139</v>
      </c>
      <c r="D1440" s="45"/>
      <c r="E1440" s="2">
        <v>80000</v>
      </c>
      <c r="F1440" s="9">
        <f t="shared" si="38"/>
        <v>0</v>
      </c>
    </row>
    <row r="1441" spans="2:6" x14ac:dyDescent="0.2">
      <c r="B1441" s="86"/>
      <c r="C1441" s="1" t="s">
        <v>123</v>
      </c>
      <c r="D1441" s="45"/>
      <c r="E1441" s="2">
        <v>2200</v>
      </c>
      <c r="F1441" s="9">
        <f t="shared" si="38"/>
        <v>0</v>
      </c>
    </row>
    <row r="1442" spans="2:6" x14ac:dyDescent="0.2">
      <c r="B1442" s="86"/>
      <c r="C1442" s="1" t="s">
        <v>151</v>
      </c>
      <c r="D1442" s="45"/>
      <c r="E1442" s="2">
        <v>3120</v>
      </c>
      <c r="F1442" s="9">
        <f t="shared" si="38"/>
        <v>0</v>
      </c>
    </row>
    <row r="1443" spans="2:6" x14ac:dyDescent="0.2">
      <c r="B1443" s="86"/>
      <c r="C1443" s="2" t="s">
        <v>74</v>
      </c>
      <c r="D1443" s="45"/>
      <c r="E1443" s="2">
        <v>3700</v>
      </c>
      <c r="F1443" s="9">
        <f t="shared" si="38"/>
        <v>0</v>
      </c>
    </row>
    <row r="1444" spans="2:6" x14ac:dyDescent="0.2">
      <c r="B1444" s="86"/>
      <c r="C1444" s="2" t="s">
        <v>79</v>
      </c>
      <c r="D1444" s="45"/>
      <c r="E1444" s="2">
        <v>4500</v>
      </c>
      <c r="F1444" s="9">
        <f t="shared" si="38"/>
        <v>0</v>
      </c>
    </row>
    <row r="1445" spans="2:6" x14ac:dyDescent="0.2">
      <c r="B1445" s="86"/>
      <c r="C1445" s="2" t="s">
        <v>145</v>
      </c>
      <c r="D1445" s="45"/>
      <c r="E1445" s="2">
        <v>3700</v>
      </c>
      <c r="F1445" s="9">
        <f t="shared" si="38"/>
        <v>0</v>
      </c>
    </row>
    <row r="1446" spans="2:6" x14ac:dyDescent="0.2">
      <c r="B1446" s="86"/>
      <c r="C1446" s="2" t="s">
        <v>152</v>
      </c>
      <c r="D1446" s="45"/>
      <c r="E1446" s="2">
        <v>54000</v>
      </c>
      <c r="F1446" s="9">
        <f t="shared" si="38"/>
        <v>0</v>
      </c>
    </row>
    <row r="1447" spans="2:6" x14ac:dyDescent="0.2">
      <c r="B1447" s="86"/>
      <c r="C1447" s="2" t="s">
        <v>166</v>
      </c>
      <c r="D1447" s="45"/>
      <c r="E1447" s="2"/>
      <c r="F1447" s="9">
        <f t="shared" si="38"/>
        <v>0</v>
      </c>
    </row>
    <row r="1448" spans="2:6" x14ac:dyDescent="0.2">
      <c r="B1448" s="86"/>
      <c r="C1448" s="2" t="s">
        <v>174</v>
      </c>
      <c r="D1448" s="45"/>
      <c r="E1448" s="2">
        <v>3600</v>
      </c>
      <c r="F1448" s="9">
        <f t="shared" si="38"/>
        <v>0</v>
      </c>
    </row>
    <row r="1449" spans="2:6" x14ac:dyDescent="0.2">
      <c r="B1449" s="88"/>
      <c r="C1449" s="2" t="s">
        <v>175</v>
      </c>
      <c r="D1449" s="45"/>
      <c r="E1449" s="2"/>
      <c r="F1449" s="9">
        <f t="shared" si="38"/>
        <v>0</v>
      </c>
    </row>
    <row r="1450" spans="2:6" x14ac:dyDescent="0.2">
      <c r="B1450" s="86"/>
      <c r="C1450" s="2" t="s">
        <v>172</v>
      </c>
      <c r="D1450" s="45"/>
      <c r="E1450" s="2"/>
      <c r="F1450" s="9">
        <f t="shared" si="38"/>
        <v>0</v>
      </c>
    </row>
    <row r="1451" spans="2:6" x14ac:dyDescent="0.2">
      <c r="B1451" s="86"/>
      <c r="C1451" s="56" t="s">
        <v>142</v>
      </c>
      <c r="D1451" s="45"/>
      <c r="E1451" s="2"/>
      <c r="F1451" s="9">
        <f t="shared" si="38"/>
        <v>0</v>
      </c>
    </row>
    <row r="1452" spans="2:6" x14ac:dyDescent="0.2">
      <c r="B1452" s="86"/>
      <c r="C1452" s="2" t="s">
        <v>146</v>
      </c>
      <c r="D1452" s="45"/>
      <c r="E1452" s="2"/>
      <c r="F1452" s="9">
        <f t="shared" si="38"/>
        <v>0</v>
      </c>
    </row>
    <row r="1453" spans="2:6" x14ac:dyDescent="0.2">
      <c r="B1453" s="86"/>
      <c r="C1453" s="2" t="s">
        <v>121</v>
      </c>
      <c r="D1453" s="45"/>
      <c r="E1453" s="2"/>
      <c r="F1453" s="9">
        <f t="shared" si="38"/>
        <v>0</v>
      </c>
    </row>
    <row r="1454" spans="2:6" x14ac:dyDescent="0.2">
      <c r="B1454" s="86"/>
      <c r="C1454" s="2" t="s">
        <v>122</v>
      </c>
      <c r="D1454" s="45"/>
      <c r="E1454" s="2"/>
      <c r="F1454" s="9">
        <f t="shared" si="38"/>
        <v>0</v>
      </c>
    </row>
    <row r="1455" spans="2:6" x14ac:dyDescent="0.2">
      <c r="B1455" s="86"/>
      <c r="C1455" s="2" t="s">
        <v>143</v>
      </c>
      <c r="D1455" s="45"/>
      <c r="E1455" s="2"/>
      <c r="F1455" s="9">
        <f t="shared" si="38"/>
        <v>0</v>
      </c>
    </row>
    <row r="1456" spans="2:6" x14ac:dyDescent="0.2">
      <c r="B1456" s="86"/>
      <c r="C1456" s="2" t="s">
        <v>126</v>
      </c>
      <c r="D1456" s="45"/>
      <c r="E1456" s="2"/>
      <c r="F1456" s="9">
        <f t="shared" si="38"/>
        <v>0</v>
      </c>
    </row>
    <row r="1457" spans="2:6" x14ac:dyDescent="0.2">
      <c r="B1457" s="86"/>
      <c r="C1457" s="2" t="s">
        <v>153</v>
      </c>
      <c r="D1457" s="45"/>
      <c r="E1457" s="2"/>
      <c r="F1457" s="9">
        <f t="shared" si="38"/>
        <v>0</v>
      </c>
    </row>
    <row r="1458" spans="2:6" x14ac:dyDescent="0.2">
      <c r="B1458" s="86"/>
      <c r="C1458" s="2" t="s">
        <v>141</v>
      </c>
      <c r="D1458" s="45"/>
      <c r="E1458" s="2"/>
      <c r="F1458" s="9">
        <f t="shared" si="38"/>
        <v>0</v>
      </c>
    </row>
    <row r="1459" spans="2:6" x14ac:dyDescent="0.2">
      <c r="B1459" s="86"/>
      <c r="C1459" s="2" t="s">
        <v>144</v>
      </c>
      <c r="D1459" s="45"/>
      <c r="E1459" s="2"/>
      <c r="F1459" s="9">
        <f t="shared" si="38"/>
        <v>0</v>
      </c>
    </row>
    <row r="1460" spans="2:6" x14ac:dyDescent="0.2">
      <c r="B1460" s="87"/>
      <c r="C1460" s="2" t="s">
        <v>147</v>
      </c>
      <c r="D1460" s="45"/>
      <c r="E1460" s="2"/>
      <c r="F1460" s="9">
        <f t="shared" si="38"/>
        <v>0</v>
      </c>
    </row>
    <row r="1461" spans="2:6" x14ac:dyDescent="0.2">
      <c r="B1461" s="86"/>
      <c r="C1461" s="2" t="s">
        <v>173</v>
      </c>
      <c r="D1461" s="45"/>
      <c r="E1461" s="2"/>
      <c r="F1461" s="9">
        <f t="shared" si="38"/>
        <v>0</v>
      </c>
    </row>
    <row r="1462" spans="2:6" x14ac:dyDescent="0.2">
      <c r="B1462" s="86"/>
      <c r="C1462" s="2" t="s">
        <v>159</v>
      </c>
      <c r="D1462" s="45"/>
      <c r="E1462" s="2"/>
      <c r="F1462" s="9">
        <f t="shared" si="38"/>
        <v>0</v>
      </c>
    </row>
    <row r="1463" spans="2:6" x14ac:dyDescent="0.2">
      <c r="B1463" s="86"/>
      <c r="C1463" s="2" t="s">
        <v>148</v>
      </c>
      <c r="D1463" s="45"/>
      <c r="E1463" s="2"/>
      <c r="F1463" s="9">
        <f t="shared" si="38"/>
        <v>0</v>
      </c>
    </row>
    <row r="1464" spans="2:6" x14ac:dyDescent="0.2">
      <c r="B1464" s="86"/>
      <c r="C1464" s="2"/>
      <c r="D1464" s="45"/>
      <c r="E1464" s="2"/>
      <c r="F1464" s="9">
        <f t="shared" si="38"/>
        <v>0</v>
      </c>
    </row>
    <row r="1465" spans="2:6" x14ac:dyDescent="0.2">
      <c r="B1465" s="86"/>
      <c r="C1465" s="2"/>
      <c r="D1465" s="45"/>
      <c r="E1465" s="2"/>
      <c r="F1465" s="9">
        <f t="shared" si="38"/>
        <v>0</v>
      </c>
    </row>
    <row r="1466" spans="2:6" x14ac:dyDescent="0.2">
      <c r="B1466" s="86"/>
      <c r="C1466" s="2"/>
      <c r="D1466" s="45"/>
      <c r="E1466" s="2"/>
      <c r="F1466" s="9">
        <f t="shared" si="38"/>
        <v>0</v>
      </c>
    </row>
    <row r="1467" spans="2:6" x14ac:dyDescent="0.2">
      <c r="B1467" s="86"/>
      <c r="C1467" s="2"/>
      <c r="D1467" s="45"/>
      <c r="E1467" s="2"/>
      <c r="F1467" s="9">
        <f t="shared" si="38"/>
        <v>0</v>
      </c>
    </row>
    <row r="1468" spans="2:6" x14ac:dyDescent="0.2">
      <c r="B1468" s="86"/>
      <c r="C1468" s="56"/>
      <c r="D1468" s="45"/>
      <c r="E1468" s="2"/>
      <c r="F1468" s="9">
        <f t="shared" si="38"/>
        <v>0</v>
      </c>
    </row>
    <row r="1469" spans="2:6" x14ac:dyDescent="0.2">
      <c r="B1469" s="8"/>
      <c r="C1469" s="159"/>
      <c r="D1469" s="160"/>
      <c r="E1469" s="161"/>
      <c r="F1469" s="70"/>
    </row>
    <row r="1470" spans="2:6" ht="15.75" thickBot="1" x14ac:dyDescent="0.25">
      <c r="B1470" s="144" t="s">
        <v>11</v>
      </c>
      <c r="C1470" s="145"/>
      <c r="D1470" s="145"/>
      <c r="E1470" s="146"/>
      <c r="F1470" s="10">
        <f>SUM(F1435:F1469)</f>
        <v>0</v>
      </c>
    </row>
    <row r="1471" spans="2:6" x14ac:dyDescent="0.2">
      <c r="B1471" s="153" t="s">
        <v>7</v>
      </c>
      <c r="C1471" s="154"/>
      <c r="D1471" s="154"/>
      <c r="E1471" s="155"/>
      <c r="F1471" s="17">
        <v>240500</v>
      </c>
    </row>
    <row r="1472" spans="2:6" x14ac:dyDescent="0.2">
      <c r="B1472" s="147" t="s">
        <v>8</v>
      </c>
      <c r="C1472" s="148"/>
      <c r="D1472" s="148"/>
      <c r="E1472" s="149"/>
      <c r="F1472" s="28">
        <f>F1470+F1471</f>
        <v>240500</v>
      </c>
    </row>
    <row r="1473" spans="1:6" x14ac:dyDescent="0.2">
      <c r="B1473" s="147" t="s">
        <v>9</v>
      </c>
      <c r="C1473" s="148"/>
      <c r="D1473" s="148"/>
      <c r="E1473" s="149"/>
      <c r="F1473" s="39"/>
    </row>
    <row r="1474" spans="1:6" ht="15.75" thickBot="1" x14ac:dyDescent="0.25">
      <c r="B1474" s="150" t="s">
        <v>10</v>
      </c>
      <c r="C1474" s="151"/>
      <c r="D1474" s="151"/>
      <c r="E1474" s="152"/>
      <c r="F1474" s="12">
        <f>F1473-F1472</f>
        <v>-240500</v>
      </c>
    </row>
    <row r="1475" spans="1:6" ht="15.75" thickBot="1" x14ac:dyDescent="0.25"/>
    <row r="1476" spans="1:6" x14ac:dyDescent="0.2">
      <c r="A1476" s="27" t="s">
        <v>87</v>
      </c>
      <c r="B1476" s="6" t="s">
        <v>2</v>
      </c>
      <c r="C1476" s="156">
        <f>C1430</f>
        <v>0</v>
      </c>
      <c r="D1476" s="157"/>
      <c r="E1476" s="157"/>
      <c r="F1476" s="158"/>
    </row>
    <row r="1477" spans="1:6" x14ac:dyDescent="0.2">
      <c r="B1477" s="7" t="s">
        <v>0</v>
      </c>
      <c r="C1477" s="142" t="s">
        <v>132</v>
      </c>
      <c r="D1477" s="142"/>
      <c r="E1477" s="142"/>
      <c r="F1477" s="143"/>
    </row>
    <row r="1478" spans="1:6" x14ac:dyDescent="0.2">
      <c r="B1478" s="7" t="s">
        <v>1</v>
      </c>
      <c r="C1478" s="142"/>
      <c r="D1478" s="142"/>
      <c r="E1478" s="142"/>
      <c r="F1478" s="143"/>
    </row>
    <row r="1479" spans="1:6" ht="15.75" thickBot="1" x14ac:dyDescent="0.25">
      <c r="B1479" s="7"/>
      <c r="C1479" s="162"/>
      <c r="D1479" s="162"/>
      <c r="E1479" s="162"/>
      <c r="F1479" s="163"/>
    </row>
    <row r="1480" spans="1:6" x14ac:dyDescent="0.2">
      <c r="B1480" s="91" t="s">
        <v>108</v>
      </c>
      <c r="C1480" s="92" t="s">
        <v>3</v>
      </c>
      <c r="D1480" s="92" t="s">
        <v>4</v>
      </c>
      <c r="E1480" s="93"/>
      <c r="F1480" s="94" t="s">
        <v>5</v>
      </c>
    </row>
    <row r="1481" spans="1:6" x14ac:dyDescent="0.2">
      <c r="B1481" s="8"/>
      <c r="C1481" s="35" t="s">
        <v>67</v>
      </c>
      <c r="D1481" s="60"/>
      <c r="E1481" s="2">
        <v>3750</v>
      </c>
      <c r="F1481" s="9">
        <f t="shared" ref="F1481:F1514" si="39">(B1481-D1481) *E1481</f>
        <v>0</v>
      </c>
    </row>
    <row r="1482" spans="1:6" x14ac:dyDescent="0.2">
      <c r="B1482" s="87"/>
      <c r="C1482" s="1" t="s">
        <v>14</v>
      </c>
      <c r="D1482" s="80"/>
      <c r="E1482" s="56">
        <v>9250</v>
      </c>
      <c r="F1482" s="81">
        <f t="shared" si="39"/>
        <v>0</v>
      </c>
    </row>
    <row r="1483" spans="1:6" x14ac:dyDescent="0.2">
      <c r="B1483" s="86"/>
      <c r="C1483" s="1" t="s">
        <v>15</v>
      </c>
      <c r="D1483" s="45"/>
      <c r="E1483" s="2">
        <v>4750</v>
      </c>
      <c r="F1483" s="9">
        <f t="shared" si="39"/>
        <v>0</v>
      </c>
    </row>
    <row r="1484" spans="1:6" x14ac:dyDescent="0.2">
      <c r="B1484" s="86"/>
      <c r="C1484" s="1" t="s">
        <v>62</v>
      </c>
      <c r="D1484" s="45"/>
      <c r="E1484" s="2">
        <v>17000</v>
      </c>
      <c r="F1484" s="9">
        <f t="shared" si="39"/>
        <v>0</v>
      </c>
    </row>
    <row r="1485" spans="1:6" x14ac:dyDescent="0.2">
      <c r="B1485" s="86"/>
      <c r="C1485" s="1" t="s">
        <v>18</v>
      </c>
      <c r="D1485" s="45"/>
      <c r="E1485" s="2">
        <v>73000</v>
      </c>
      <c r="F1485" s="9">
        <f t="shared" si="39"/>
        <v>0</v>
      </c>
    </row>
    <row r="1486" spans="1:6" x14ac:dyDescent="0.2">
      <c r="B1486" s="86"/>
      <c r="C1486" s="1" t="s">
        <v>139</v>
      </c>
      <c r="D1486" s="45"/>
      <c r="E1486" s="2">
        <v>80000</v>
      </c>
      <c r="F1486" s="9">
        <f t="shared" si="39"/>
        <v>0</v>
      </c>
    </row>
    <row r="1487" spans="1:6" x14ac:dyDescent="0.2">
      <c r="B1487" s="86"/>
      <c r="C1487" s="1" t="s">
        <v>123</v>
      </c>
      <c r="D1487" s="45"/>
      <c r="E1487" s="2">
        <v>2200</v>
      </c>
      <c r="F1487" s="9">
        <f t="shared" si="39"/>
        <v>0</v>
      </c>
    </row>
    <row r="1488" spans="1:6" x14ac:dyDescent="0.2">
      <c r="B1488" s="86"/>
      <c r="C1488" s="1" t="s">
        <v>151</v>
      </c>
      <c r="D1488" s="45"/>
      <c r="E1488" s="2">
        <v>3120</v>
      </c>
      <c r="F1488" s="9">
        <f t="shared" si="39"/>
        <v>0</v>
      </c>
    </row>
    <row r="1489" spans="2:6" x14ac:dyDescent="0.2">
      <c r="B1489" s="86"/>
      <c r="C1489" s="2" t="s">
        <v>74</v>
      </c>
      <c r="D1489" s="45"/>
      <c r="E1489" s="2">
        <v>3700</v>
      </c>
      <c r="F1489" s="9">
        <f t="shared" si="39"/>
        <v>0</v>
      </c>
    </row>
    <row r="1490" spans="2:6" x14ac:dyDescent="0.2">
      <c r="B1490" s="86"/>
      <c r="C1490" s="2" t="s">
        <v>79</v>
      </c>
      <c r="D1490" s="45"/>
      <c r="E1490" s="2">
        <v>4500</v>
      </c>
      <c r="F1490" s="9">
        <f t="shared" si="39"/>
        <v>0</v>
      </c>
    </row>
    <row r="1491" spans="2:6" x14ac:dyDescent="0.2">
      <c r="B1491" s="86"/>
      <c r="C1491" s="2" t="s">
        <v>145</v>
      </c>
      <c r="D1491" s="45"/>
      <c r="E1491" s="2">
        <v>3700</v>
      </c>
      <c r="F1491" s="9">
        <f t="shared" si="39"/>
        <v>0</v>
      </c>
    </row>
    <row r="1492" spans="2:6" x14ac:dyDescent="0.2">
      <c r="B1492" s="86"/>
      <c r="C1492" s="2" t="s">
        <v>152</v>
      </c>
      <c r="D1492" s="45"/>
      <c r="E1492" s="2">
        <v>54000</v>
      </c>
      <c r="F1492" s="9">
        <f t="shared" si="39"/>
        <v>0</v>
      </c>
    </row>
    <row r="1493" spans="2:6" x14ac:dyDescent="0.2">
      <c r="B1493" s="86"/>
      <c r="C1493" s="2"/>
      <c r="D1493" s="45"/>
      <c r="E1493" s="2"/>
      <c r="F1493" s="9">
        <f t="shared" si="39"/>
        <v>0</v>
      </c>
    </row>
    <row r="1494" spans="2:6" x14ac:dyDescent="0.2">
      <c r="B1494" s="86"/>
      <c r="C1494" s="2"/>
      <c r="D1494" s="45"/>
      <c r="E1494" s="2"/>
      <c r="F1494" s="9">
        <f t="shared" si="39"/>
        <v>0</v>
      </c>
    </row>
    <row r="1495" spans="2:6" x14ac:dyDescent="0.2">
      <c r="B1495" s="88"/>
      <c r="C1495" s="2"/>
      <c r="D1495" s="45"/>
      <c r="E1495" s="2"/>
      <c r="F1495" s="9">
        <f t="shared" si="39"/>
        <v>0</v>
      </c>
    </row>
    <row r="1496" spans="2:6" x14ac:dyDescent="0.2">
      <c r="B1496" s="86"/>
      <c r="C1496" s="2"/>
      <c r="D1496" s="45"/>
      <c r="E1496" s="2"/>
      <c r="F1496" s="9">
        <f t="shared" si="39"/>
        <v>0</v>
      </c>
    </row>
    <row r="1497" spans="2:6" x14ac:dyDescent="0.2">
      <c r="B1497" s="86"/>
      <c r="C1497" s="2"/>
      <c r="D1497" s="45"/>
      <c r="E1497" s="2"/>
      <c r="F1497" s="9">
        <f t="shared" si="39"/>
        <v>0</v>
      </c>
    </row>
    <row r="1498" spans="2:6" x14ac:dyDescent="0.2">
      <c r="B1498" s="86"/>
      <c r="C1498" s="2"/>
      <c r="D1498" s="45"/>
      <c r="E1498" s="2"/>
      <c r="F1498" s="9">
        <f t="shared" si="39"/>
        <v>0</v>
      </c>
    </row>
    <row r="1499" spans="2:6" x14ac:dyDescent="0.2">
      <c r="B1499" s="86"/>
      <c r="C1499" s="2"/>
      <c r="D1499" s="45"/>
      <c r="E1499" s="2"/>
      <c r="F1499" s="9">
        <f t="shared" si="39"/>
        <v>0</v>
      </c>
    </row>
    <row r="1500" spans="2:6" x14ac:dyDescent="0.2">
      <c r="B1500" s="86"/>
      <c r="C1500" s="2"/>
      <c r="D1500" s="45"/>
      <c r="E1500" s="2"/>
      <c r="F1500" s="9">
        <f t="shared" si="39"/>
        <v>0</v>
      </c>
    </row>
    <row r="1501" spans="2:6" x14ac:dyDescent="0.2">
      <c r="B1501" s="86"/>
      <c r="C1501" s="2"/>
      <c r="D1501" s="45"/>
      <c r="E1501" s="2"/>
      <c r="F1501" s="9">
        <f t="shared" si="39"/>
        <v>0</v>
      </c>
    </row>
    <row r="1502" spans="2:6" x14ac:dyDescent="0.2">
      <c r="B1502" s="86"/>
      <c r="C1502" s="2"/>
      <c r="D1502" s="45"/>
      <c r="E1502" s="2"/>
      <c r="F1502" s="9">
        <f t="shared" si="39"/>
        <v>0</v>
      </c>
    </row>
    <row r="1503" spans="2:6" x14ac:dyDescent="0.2">
      <c r="B1503" s="86"/>
      <c r="C1503" s="2"/>
      <c r="D1503" s="45"/>
      <c r="E1503" s="2"/>
      <c r="F1503" s="9">
        <f t="shared" si="39"/>
        <v>0</v>
      </c>
    </row>
    <row r="1504" spans="2:6" x14ac:dyDescent="0.2">
      <c r="B1504" s="86"/>
      <c r="C1504" s="2"/>
      <c r="D1504" s="45"/>
      <c r="E1504" s="2"/>
      <c r="F1504" s="9">
        <f t="shared" si="39"/>
        <v>0</v>
      </c>
    </row>
    <row r="1505" spans="2:6" x14ac:dyDescent="0.2">
      <c r="B1505" s="86"/>
      <c r="C1505" s="2"/>
      <c r="D1505" s="45"/>
      <c r="E1505" s="2"/>
      <c r="F1505" s="9">
        <f t="shared" si="39"/>
        <v>0</v>
      </c>
    </row>
    <row r="1506" spans="2:6" x14ac:dyDescent="0.2">
      <c r="B1506" s="87"/>
      <c r="C1506" s="2"/>
      <c r="D1506" s="45"/>
      <c r="E1506" s="2"/>
      <c r="F1506" s="9">
        <f t="shared" si="39"/>
        <v>0</v>
      </c>
    </row>
    <row r="1507" spans="2:6" x14ac:dyDescent="0.2">
      <c r="B1507" s="86"/>
      <c r="C1507" s="2"/>
      <c r="D1507" s="45"/>
      <c r="E1507" s="2"/>
      <c r="F1507" s="9">
        <f t="shared" si="39"/>
        <v>0</v>
      </c>
    </row>
    <row r="1508" spans="2:6" x14ac:dyDescent="0.2">
      <c r="B1508" s="86"/>
      <c r="C1508" s="2"/>
      <c r="D1508" s="45"/>
      <c r="E1508" s="2"/>
      <c r="F1508" s="9">
        <f t="shared" si="39"/>
        <v>0</v>
      </c>
    </row>
    <row r="1509" spans="2:6" x14ac:dyDescent="0.2">
      <c r="B1509" s="86"/>
      <c r="C1509" s="2"/>
      <c r="D1509" s="45"/>
      <c r="E1509" s="2"/>
      <c r="F1509" s="9">
        <f t="shared" si="39"/>
        <v>0</v>
      </c>
    </row>
    <row r="1510" spans="2:6" x14ac:dyDescent="0.2">
      <c r="B1510" s="86"/>
      <c r="C1510" s="2"/>
      <c r="D1510" s="45"/>
      <c r="E1510" s="2"/>
      <c r="F1510" s="9">
        <f t="shared" si="39"/>
        <v>0</v>
      </c>
    </row>
    <row r="1511" spans="2:6" x14ac:dyDescent="0.2">
      <c r="B1511" s="86"/>
      <c r="C1511" s="2"/>
      <c r="D1511" s="45"/>
      <c r="E1511" s="2"/>
      <c r="F1511" s="9">
        <f t="shared" si="39"/>
        <v>0</v>
      </c>
    </row>
    <row r="1512" spans="2:6" x14ac:dyDescent="0.2">
      <c r="B1512" s="86"/>
      <c r="C1512" s="2"/>
      <c r="D1512" s="45"/>
      <c r="E1512" s="2"/>
      <c r="F1512" s="9">
        <f t="shared" si="39"/>
        <v>0</v>
      </c>
    </row>
    <row r="1513" spans="2:6" x14ac:dyDescent="0.2">
      <c r="B1513" s="86"/>
      <c r="C1513" s="2"/>
      <c r="D1513" s="45"/>
      <c r="E1513" s="2"/>
      <c r="F1513" s="9">
        <f t="shared" si="39"/>
        <v>0</v>
      </c>
    </row>
    <row r="1514" spans="2:6" x14ac:dyDescent="0.2">
      <c r="B1514" s="86"/>
      <c r="C1514" s="56"/>
      <c r="D1514" s="45"/>
      <c r="E1514" s="2"/>
      <c r="F1514" s="9">
        <f t="shared" si="39"/>
        <v>0</v>
      </c>
    </row>
    <row r="1515" spans="2:6" x14ac:dyDescent="0.2">
      <c r="B1515" s="8"/>
      <c r="C1515" s="159"/>
      <c r="D1515" s="160"/>
      <c r="E1515" s="161"/>
      <c r="F1515" s="70"/>
    </row>
    <row r="1516" spans="2:6" ht="15.75" thickBot="1" x14ac:dyDescent="0.25">
      <c r="B1516" s="144" t="s">
        <v>11</v>
      </c>
      <c r="C1516" s="145"/>
      <c r="D1516" s="145"/>
      <c r="E1516" s="146"/>
      <c r="F1516" s="10">
        <f>SUM(F1481:F1515)</f>
        <v>0</v>
      </c>
    </row>
    <row r="1517" spans="2:6" x14ac:dyDescent="0.2">
      <c r="B1517" s="153" t="s">
        <v>7</v>
      </c>
      <c r="C1517" s="154"/>
      <c r="D1517" s="154"/>
      <c r="E1517" s="155"/>
      <c r="F1517" s="17">
        <v>1245000</v>
      </c>
    </row>
    <row r="1518" spans="2:6" x14ac:dyDescent="0.2">
      <c r="B1518" s="147" t="s">
        <v>8</v>
      </c>
      <c r="C1518" s="148"/>
      <c r="D1518" s="148"/>
      <c r="E1518" s="149"/>
      <c r="F1518" s="28">
        <f>F1516+F1517</f>
        <v>1245000</v>
      </c>
    </row>
    <row r="1519" spans="2:6" x14ac:dyDescent="0.2">
      <c r="B1519" s="147" t="s">
        <v>9</v>
      </c>
      <c r="C1519" s="148"/>
      <c r="D1519" s="148"/>
      <c r="E1519" s="149"/>
      <c r="F1519" s="39"/>
    </row>
    <row r="1520" spans="2:6" ht="15.75" thickBot="1" x14ac:dyDescent="0.25">
      <c r="B1520" s="150" t="s">
        <v>10</v>
      </c>
      <c r="C1520" s="151"/>
      <c r="D1520" s="151"/>
      <c r="E1520" s="152"/>
      <c r="F1520" s="12">
        <f>F1519-F1518</f>
        <v>-1245000</v>
      </c>
    </row>
    <row r="1521" spans="1:6" ht="15.75" thickBot="1" x14ac:dyDescent="0.25"/>
    <row r="1522" spans="1:6" x14ac:dyDescent="0.2">
      <c r="A1522" s="27" t="s">
        <v>89</v>
      </c>
      <c r="B1522" s="6" t="s">
        <v>2</v>
      </c>
      <c r="C1522" s="156">
        <f>C1476</f>
        <v>0</v>
      </c>
      <c r="D1522" s="157"/>
      <c r="E1522" s="157"/>
      <c r="F1522" s="158"/>
    </row>
    <row r="1523" spans="1:6" x14ac:dyDescent="0.2">
      <c r="B1523" s="7" t="s">
        <v>0</v>
      </c>
      <c r="C1523" s="142" t="s">
        <v>133</v>
      </c>
      <c r="D1523" s="142"/>
      <c r="E1523" s="142"/>
      <c r="F1523" s="143"/>
    </row>
    <row r="1524" spans="1:6" x14ac:dyDescent="0.2">
      <c r="B1524" s="7" t="s">
        <v>1</v>
      </c>
      <c r="C1524" s="142"/>
      <c r="D1524" s="142"/>
      <c r="E1524" s="142"/>
      <c r="F1524" s="143"/>
    </row>
    <row r="1525" spans="1:6" ht="15.75" thickBot="1" x14ac:dyDescent="0.25">
      <c r="B1525" s="7"/>
      <c r="C1525" s="162"/>
      <c r="D1525" s="162"/>
      <c r="E1525" s="162"/>
      <c r="F1525" s="163"/>
    </row>
    <row r="1526" spans="1:6" x14ac:dyDescent="0.2">
      <c r="B1526" s="91" t="s">
        <v>108</v>
      </c>
      <c r="C1526" s="92" t="s">
        <v>3</v>
      </c>
      <c r="D1526" s="92" t="s">
        <v>4</v>
      </c>
      <c r="E1526" s="93"/>
      <c r="F1526" s="94" t="s">
        <v>5</v>
      </c>
    </row>
    <row r="1527" spans="1:6" x14ac:dyDescent="0.2">
      <c r="B1527" s="8"/>
      <c r="C1527" s="35" t="s">
        <v>67</v>
      </c>
      <c r="D1527" s="60"/>
      <c r="E1527" s="2">
        <v>3750</v>
      </c>
      <c r="F1527" s="9">
        <f t="shared" ref="F1527:F1560" si="40">(B1527-D1527) *E1527</f>
        <v>0</v>
      </c>
    </row>
    <row r="1528" spans="1:6" x14ac:dyDescent="0.2">
      <c r="B1528" s="87"/>
      <c r="C1528" s="1" t="s">
        <v>14</v>
      </c>
      <c r="D1528" s="80"/>
      <c r="E1528" s="56">
        <v>9250</v>
      </c>
      <c r="F1528" s="81">
        <f t="shared" si="40"/>
        <v>0</v>
      </c>
    </row>
    <row r="1529" spans="1:6" x14ac:dyDescent="0.2">
      <c r="B1529" s="86"/>
      <c r="C1529" s="1" t="s">
        <v>15</v>
      </c>
      <c r="D1529" s="45"/>
      <c r="E1529" s="2">
        <v>4750</v>
      </c>
      <c r="F1529" s="9">
        <f t="shared" si="40"/>
        <v>0</v>
      </c>
    </row>
    <row r="1530" spans="1:6" x14ac:dyDescent="0.2">
      <c r="B1530" s="86"/>
      <c r="C1530" s="1" t="s">
        <v>62</v>
      </c>
      <c r="D1530" s="45"/>
      <c r="E1530" s="2">
        <v>17000</v>
      </c>
      <c r="F1530" s="9">
        <f t="shared" si="40"/>
        <v>0</v>
      </c>
    </row>
    <row r="1531" spans="1:6" x14ac:dyDescent="0.2">
      <c r="B1531" s="86"/>
      <c r="C1531" s="1" t="s">
        <v>18</v>
      </c>
      <c r="D1531" s="45"/>
      <c r="E1531" s="2">
        <v>73000</v>
      </c>
      <c r="F1531" s="9">
        <f t="shared" si="40"/>
        <v>0</v>
      </c>
    </row>
    <row r="1532" spans="1:6" x14ac:dyDescent="0.2">
      <c r="B1532" s="86"/>
      <c r="C1532" s="1" t="s">
        <v>139</v>
      </c>
      <c r="D1532" s="45"/>
      <c r="E1532" s="2">
        <v>80000</v>
      </c>
      <c r="F1532" s="9">
        <f t="shared" si="40"/>
        <v>0</v>
      </c>
    </row>
    <row r="1533" spans="1:6" x14ac:dyDescent="0.2">
      <c r="B1533" s="86"/>
      <c r="C1533" s="1" t="s">
        <v>123</v>
      </c>
      <c r="D1533" s="45"/>
      <c r="E1533" s="2">
        <v>2200</v>
      </c>
      <c r="F1533" s="9">
        <f t="shared" si="40"/>
        <v>0</v>
      </c>
    </row>
    <row r="1534" spans="1:6" x14ac:dyDescent="0.2">
      <c r="B1534" s="86"/>
      <c r="C1534" s="1" t="s">
        <v>151</v>
      </c>
      <c r="D1534" s="45"/>
      <c r="E1534" s="2">
        <v>3120</v>
      </c>
      <c r="F1534" s="9">
        <f t="shared" si="40"/>
        <v>0</v>
      </c>
    </row>
    <row r="1535" spans="1:6" x14ac:dyDescent="0.2">
      <c r="B1535" s="86"/>
      <c r="C1535" s="2" t="s">
        <v>74</v>
      </c>
      <c r="D1535" s="45"/>
      <c r="E1535" s="2">
        <v>3700</v>
      </c>
      <c r="F1535" s="9">
        <f t="shared" si="40"/>
        <v>0</v>
      </c>
    </row>
    <row r="1536" spans="1:6" x14ac:dyDescent="0.2">
      <c r="B1536" s="86"/>
      <c r="C1536" s="2" t="s">
        <v>79</v>
      </c>
      <c r="D1536" s="45"/>
      <c r="E1536" s="2">
        <v>4500</v>
      </c>
      <c r="F1536" s="9">
        <f t="shared" si="40"/>
        <v>0</v>
      </c>
    </row>
    <row r="1537" spans="2:6" x14ac:dyDescent="0.2">
      <c r="B1537" s="86"/>
      <c r="C1537" s="2" t="s">
        <v>145</v>
      </c>
      <c r="D1537" s="45"/>
      <c r="E1537" s="2">
        <v>3700</v>
      </c>
      <c r="F1537" s="9">
        <f t="shared" si="40"/>
        <v>0</v>
      </c>
    </row>
    <row r="1538" spans="2:6" x14ac:dyDescent="0.2">
      <c r="B1538" s="86"/>
      <c r="C1538" s="2" t="s">
        <v>152</v>
      </c>
      <c r="D1538" s="45"/>
      <c r="E1538" s="2">
        <v>54000</v>
      </c>
      <c r="F1538" s="9">
        <f t="shared" si="40"/>
        <v>0</v>
      </c>
    </row>
    <row r="1539" spans="2:6" x14ac:dyDescent="0.2">
      <c r="B1539" s="86"/>
      <c r="C1539" s="2"/>
      <c r="D1539" s="45"/>
      <c r="E1539" s="2"/>
      <c r="F1539" s="9">
        <f t="shared" si="40"/>
        <v>0</v>
      </c>
    </row>
    <row r="1540" spans="2:6" x14ac:dyDescent="0.2">
      <c r="B1540" s="86"/>
      <c r="C1540" s="2"/>
      <c r="D1540" s="45"/>
      <c r="E1540" s="2"/>
      <c r="F1540" s="9">
        <f t="shared" si="40"/>
        <v>0</v>
      </c>
    </row>
    <row r="1541" spans="2:6" x14ac:dyDescent="0.2">
      <c r="B1541" s="88"/>
      <c r="C1541" s="2"/>
      <c r="D1541" s="45"/>
      <c r="E1541" s="2"/>
      <c r="F1541" s="9">
        <f t="shared" si="40"/>
        <v>0</v>
      </c>
    </row>
    <row r="1542" spans="2:6" x14ac:dyDescent="0.2">
      <c r="B1542" s="86"/>
      <c r="C1542" s="2"/>
      <c r="D1542" s="45"/>
      <c r="E1542" s="2"/>
      <c r="F1542" s="9">
        <f t="shared" si="40"/>
        <v>0</v>
      </c>
    </row>
    <row r="1543" spans="2:6" x14ac:dyDescent="0.2">
      <c r="B1543" s="86"/>
      <c r="C1543" s="2"/>
      <c r="D1543" s="45"/>
      <c r="E1543" s="2"/>
      <c r="F1543" s="9">
        <f t="shared" si="40"/>
        <v>0</v>
      </c>
    </row>
    <row r="1544" spans="2:6" x14ac:dyDescent="0.2">
      <c r="B1544" s="86"/>
      <c r="C1544" s="2"/>
      <c r="D1544" s="45"/>
      <c r="E1544" s="2"/>
      <c r="F1544" s="9">
        <f t="shared" si="40"/>
        <v>0</v>
      </c>
    </row>
    <row r="1545" spans="2:6" x14ac:dyDescent="0.2">
      <c r="B1545" s="86"/>
      <c r="C1545" s="2"/>
      <c r="D1545" s="45"/>
      <c r="E1545" s="2"/>
      <c r="F1545" s="9">
        <f t="shared" si="40"/>
        <v>0</v>
      </c>
    </row>
    <row r="1546" spans="2:6" x14ac:dyDescent="0.2">
      <c r="B1546" s="86"/>
      <c r="C1546" s="2"/>
      <c r="D1546" s="45"/>
      <c r="E1546" s="2"/>
      <c r="F1546" s="9">
        <f t="shared" si="40"/>
        <v>0</v>
      </c>
    </row>
    <row r="1547" spans="2:6" x14ac:dyDescent="0.2">
      <c r="B1547" s="86"/>
      <c r="C1547" s="2"/>
      <c r="D1547" s="45"/>
      <c r="E1547" s="2"/>
      <c r="F1547" s="9">
        <f t="shared" si="40"/>
        <v>0</v>
      </c>
    </row>
    <row r="1548" spans="2:6" x14ac:dyDescent="0.2">
      <c r="B1548" s="86"/>
      <c r="C1548" s="2"/>
      <c r="D1548" s="45"/>
      <c r="E1548" s="2"/>
      <c r="F1548" s="9">
        <f t="shared" si="40"/>
        <v>0</v>
      </c>
    </row>
    <row r="1549" spans="2:6" x14ac:dyDescent="0.2">
      <c r="B1549" s="86"/>
      <c r="C1549" s="2"/>
      <c r="D1549" s="45"/>
      <c r="E1549" s="2"/>
      <c r="F1549" s="9">
        <f t="shared" si="40"/>
        <v>0</v>
      </c>
    </row>
    <row r="1550" spans="2:6" x14ac:dyDescent="0.2">
      <c r="B1550" s="86"/>
      <c r="C1550" s="2"/>
      <c r="D1550" s="45"/>
      <c r="E1550" s="2"/>
      <c r="F1550" s="9">
        <f t="shared" si="40"/>
        <v>0</v>
      </c>
    </row>
    <row r="1551" spans="2:6" x14ac:dyDescent="0.2">
      <c r="B1551" s="86"/>
      <c r="C1551" s="2"/>
      <c r="D1551" s="45"/>
      <c r="E1551" s="2"/>
      <c r="F1551" s="9">
        <f t="shared" si="40"/>
        <v>0</v>
      </c>
    </row>
    <row r="1552" spans="2:6" x14ac:dyDescent="0.2">
      <c r="B1552" s="87"/>
      <c r="C1552" s="2"/>
      <c r="D1552" s="45"/>
      <c r="E1552" s="2"/>
      <c r="F1552" s="9">
        <f t="shared" si="40"/>
        <v>0</v>
      </c>
    </row>
    <row r="1553" spans="1:6" x14ac:dyDescent="0.2">
      <c r="B1553" s="86"/>
      <c r="C1553" s="2"/>
      <c r="D1553" s="45"/>
      <c r="E1553" s="2"/>
      <c r="F1553" s="9">
        <f t="shared" si="40"/>
        <v>0</v>
      </c>
    </row>
    <row r="1554" spans="1:6" x14ac:dyDescent="0.2">
      <c r="B1554" s="86"/>
      <c r="C1554" s="2"/>
      <c r="D1554" s="45"/>
      <c r="E1554" s="2"/>
      <c r="F1554" s="9">
        <f t="shared" si="40"/>
        <v>0</v>
      </c>
    </row>
    <row r="1555" spans="1:6" x14ac:dyDescent="0.2">
      <c r="B1555" s="86"/>
      <c r="C1555" s="2"/>
      <c r="D1555" s="45"/>
      <c r="E1555" s="2"/>
      <c r="F1555" s="9">
        <f t="shared" si="40"/>
        <v>0</v>
      </c>
    </row>
    <row r="1556" spans="1:6" x14ac:dyDescent="0.2">
      <c r="B1556" s="86"/>
      <c r="C1556" s="2"/>
      <c r="D1556" s="45"/>
      <c r="E1556" s="2"/>
      <c r="F1556" s="9">
        <f t="shared" si="40"/>
        <v>0</v>
      </c>
    </row>
    <row r="1557" spans="1:6" x14ac:dyDescent="0.2">
      <c r="B1557" s="86"/>
      <c r="C1557" s="2"/>
      <c r="D1557" s="45"/>
      <c r="E1557" s="2"/>
      <c r="F1557" s="9">
        <f t="shared" si="40"/>
        <v>0</v>
      </c>
    </row>
    <row r="1558" spans="1:6" x14ac:dyDescent="0.2">
      <c r="B1558" s="86"/>
      <c r="C1558" s="2"/>
      <c r="D1558" s="45"/>
      <c r="E1558" s="2"/>
      <c r="F1558" s="9">
        <f t="shared" si="40"/>
        <v>0</v>
      </c>
    </row>
    <row r="1559" spans="1:6" x14ac:dyDescent="0.2">
      <c r="B1559" s="86"/>
      <c r="C1559" s="2"/>
      <c r="D1559" s="45"/>
      <c r="E1559" s="2"/>
      <c r="F1559" s="9">
        <f t="shared" si="40"/>
        <v>0</v>
      </c>
    </row>
    <row r="1560" spans="1:6" x14ac:dyDescent="0.2">
      <c r="B1560" s="86"/>
      <c r="C1560" s="56"/>
      <c r="D1560" s="45"/>
      <c r="E1560" s="2"/>
      <c r="F1560" s="9">
        <f t="shared" si="40"/>
        <v>0</v>
      </c>
    </row>
    <row r="1561" spans="1:6" x14ac:dyDescent="0.2">
      <c r="B1561" s="8"/>
      <c r="C1561" s="159"/>
      <c r="D1561" s="160"/>
      <c r="E1561" s="161"/>
      <c r="F1561" s="70"/>
    </row>
    <row r="1562" spans="1:6" ht="15.75" thickBot="1" x14ac:dyDescent="0.25">
      <c r="B1562" s="144" t="s">
        <v>11</v>
      </c>
      <c r="C1562" s="145"/>
      <c r="D1562" s="145"/>
      <c r="E1562" s="146"/>
      <c r="F1562" s="10">
        <f>SUM(F1527:F1561)</f>
        <v>0</v>
      </c>
    </row>
    <row r="1563" spans="1:6" x14ac:dyDescent="0.2">
      <c r="B1563" s="153" t="s">
        <v>7</v>
      </c>
      <c r="C1563" s="154"/>
      <c r="D1563" s="154"/>
      <c r="E1563" s="155"/>
      <c r="F1563" s="17">
        <v>4249000</v>
      </c>
    </row>
    <row r="1564" spans="1:6" x14ac:dyDescent="0.2">
      <c r="B1564" s="147" t="s">
        <v>8</v>
      </c>
      <c r="C1564" s="148"/>
      <c r="D1564" s="148"/>
      <c r="E1564" s="149"/>
      <c r="F1564" s="28">
        <f>F1562+F1563</f>
        <v>4249000</v>
      </c>
    </row>
    <row r="1565" spans="1:6" x14ac:dyDescent="0.2">
      <c r="B1565" s="147" t="s">
        <v>9</v>
      </c>
      <c r="C1565" s="148"/>
      <c r="D1565" s="148"/>
      <c r="E1565" s="149"/>
      <c r="F1565" s="39"/>
    </row>
    <row r="1566" spans="1:6" ht="15.75" thickBot="1" x14ac:dyDescent="0.25">
      <c r="B1566" s="150" t="s">
        <v>10</v>
      </c>
      <c r="C1566" s="151"/>
      <c r="D1566" s="151"/>
      <c r="E1566" s="152"/>
      <c r="F1566" s="12">
        <f>F1565-F1564</f>
        <v>-4249000</v>
      </c>
    </row>
    <row r="1567" spans="1:6" ht="15.75" thickBot="1" x14ac:dyDescent="0.25"/>
    <row r="1568" spans="1:6" x14ac:dyDescent="0.2">
      <c r="A1568" s="27" t="s">
        <v>88</v>
      </c>
      <c r="B1568" s="6" t="s">
        <v>2</v>
      </c>
      <c r="C1568" s="156">
        <f>C1522</f>
        <v>0</v>
      </c>
      <c r="D1568" s="157"/>
      <c r="E1568" s="157"/>
      <c r="F1568" s="158"/>
    </row>
    <row r="1569" spans="2:6" x14ac:dyDescent="0.2">
      <c r="B1569" s="7" t="s">
        <v>0</v>
      </c>
      <c r="C1569" s="232" t="s">
        <v>91</v>
      </c>
      <c r="D1569" s="232"/>
      <c r="E1569" s="232"/>
      <c r="F1569" s="233"/>
    </row>
    <row r="1570" spans="2:6" x14ac:dyDescent="0.2">
      <c r="B1570" s="7" t="s">
        <v>1</v>
      </c>
      <c r="C1570" s="142"/>
      <c r="D1570" s="142"/>
      <c r="E1570" s="142"/>
      <c r="F1570" s="143"/>
    </row>
    <row r="1571" spans="2:6" ht="15.75" thickBot="1" x14ac:dyDescent="0.25">
      <c r="B1571" s="7"/>
      <c r="C1571" s="162"/>
      <c r="D1571" s="162"/>
      <c r="E1571" s="162"/>
      <c r="F1571" s="163"/>
    </row>
    <row r="1572" spans="2:6" x14ac:dyDescent="0.2">
      <c r="B1572" s="91" t="s">
        <v>108</v>
      </c>
      <c r="C1572" s="92" t="s">
        <v>3</v>
      </c>
      <c r="D1572" s="92" t="s">
        <v>4</v>
      </c>
      <c r="E1572" s="93"/>
      <c r="F1572" s="94" t="s">
        <v>5</v>
      </c>
    </row>
    <row r="1573" spans="2:6" x14ac:dyDescent="0.2">
      <c r="B1573" s="8"/>
      <c r="C1573" s="35" t="s">
        <v>67</v>
      </c>
      <c r="D1573" s="60"/>
      <c r="E1573" s="2">
        <v>3750</v>
      </c>
      <c r="F1573" s="9">
        <f t="shared" ref="F1573:F1606" si="41">(B1573-D1573) *E1573</f>
        <v>0</v>
      </c>
    </row>
    <row r="1574" spans="2:6" x14ac:dyDescent="0.2">
      <c r="B1574" s="87"/>
      <c r="C1574" s="1" t="s">
        <v>14</v>
      </c>
      <c r="D1574" s="80"/>
      <c r="E1574" s="56">
        <v>9250</v>
      </c>
      <c r="F1574" s="81">
        <f t="shared" si="41"/>
        <v>0</v>
      </c>
    </row>
    <row r="1575" spans="2:6" x14ac:dyDescent="0.2">
      <c r="B1575" s="86"/>
      <c r="C1575" s="1" t="s">
        <v>15</v>
      </c>
      <c r="D1575" s="45"/>
      <c r="E1575" s="2">
        <v>4750</v>
      </c>
      <c r="F1575" s="9">
        <f t="shared" si="41"/>
        <v>0</v>
      </c>
    </row>
    <row r="1576" spans="2:6" x14ac:dyDescent="0.2">
      <c r="B1576" s="86"/>
      <c r="C1576" s="1" t="s">
        <v>62</v>
      </c>
      <c r="D1576" s="45"/>
      <c r="E1576" s="2">
        <v>17000</v>
      </c>
      <c r="F1576" s="9">
        <f t="shared" si="41"/>
        <v>0</v>
      </c>
    </row>
    <row r="1577" spans="2:6" x14ac:dyDescent="0.2">
      <c r="B1577" s="86"/>
      <c r="C1577" s="1" t="s">
        <v>18</v>
      </c>
      <c r="D1577" s="45"/>
      <c r="E1577" s="2">
        <v>73000</v>
      </c>
      <c r="F1577" s="9">
        <f t="shared" si="41"/>
        <v>0</v>
      </c>
    </row>
    <row r="1578" spans="2:6" x14ac:dyDescent="0.2">
      <c r="B1578" s="86"/>
      <c r="C1578" s="1" t="s">
        <v>139</v>
      </c>
      <c r="D1578" s="45"/>
      <c r="E1578" s="2">
        <v>80000</v>
      </c>
      <c r="F1578" s="9">
        <f t="shared" si="41"/>
        <v>0</v>
      </c>
    </row>
    <row r="1579" spans="2:6" x14ac:dyDescent="0.2">
      <c r="B1579" s="86"/>
      <c r="C1579" s="1" t="s">
        <v>123</v>
      </c>
      <c r="D1579" s="45"/>
      <c r="E1579" s="2">
        <v>2200</v>
      </c>
      <c r="F1579" s="9">
        <f t="shared" si="41"/>
        <v>0</v>
      </c>
    </row>
    <row r="1580" spans="2:6" x14ac:dyDescent="0.2">
      <c r="B1580" s="86"/>
      <c r="C1580" s="1" t="s">
        <v>151</v>
      </c>
      <c r="D1580" s="45"/>
      <c r="E1580" s="2">
        <v>3120</v>
      </c>
      <c r="F1580" s="9">
        <f t="shared" si="41"/>
        <v>0</v>
      </c>
    </row>
    <row r="1581" spans="2:6" x14ac:dyDescent="0.2">
      <c r="B1581" s="86"/>
      <c r="C1581" s="2" t="s">
        <v>74</v>
      </c>
      <c r="D1581" s="45"/>
      <c r="E1581" s="2">
        <v>3700</v>
      </c>
      <c r="F1581" s="9">
        <f t="shared" si="41"/>
        <v>0</v>
      </c>
    </row>
    <row r="1582" spans="2:6" x14ac:dyDescent="0.2">
      <c r="B1582" s="86"/>
      <c r="C1582" s="2" t="s">
        <v>79</v>
      </c>
      <c r="D1582" s="45"/>
      <c r="E1582" s="2">
        <v>4500</v>
      </c>
      <c r="F1582" s="9">
        <f t="shared" si="41"/>
        <v>0</v>
      </c>
    </row>
    <row r="1583" spans="2:6" x14ac:dyDescent="0.2">
      <c r="B1583" s="86"/>
      <c r="C1583" s="2" t="s">
        <v>145</v>
      </c>
      <c r="D1583" s="45"/>
      <c r="E1583" s="2">
        <v>3700</v>
      </c>
      <c r="F1583" s="9">
        <f t="shared" si="41"/>
        <v>0</v>
      </c>
    </row>
    <row r="1584" spans="2:6" x14ac:dyDescent="0.2">
      <c r="B1584" s="86"/>
      <c r="C1584" s="2" t="s">
        <v>152</v>
      </c>
      <c r="D1584" s="45"/>
      <c r="E1584" s="2">
        <v>54000</v>
      </c>
      <c r="F1584" s="9">
        <f t="shared" si="41"/>
        <v>0</v>
      </c>
    </row>
    <row r="1585" spans="2:6" x14ac:dyDescent="0.2">
      <c r="B1585" s="86"/>
      <c r="C1585" s="2"/>
      <c r="D1585" s="45"/>
      <c r="E1585" s="2"/>
      <c r="F1585" s="9">
        <f t="shared" si="41"/>
        <v>0</v>
      </c>
    </row>
    <row r="1586" spans="2:6" x14ac:dyDescent="0.2">
      <c r="B1586" s="86"/>
      <c r="C1586" s="2"/>
      <c r="D1586" s="45"/>
      <c r="E1586" s="2"/>
      <c r="F1586" s="9">
        <f t="shared" si="41"/>
        <v>0</v>
      </c>
    </row>
    <row r="1587" spans="2:6" x14ac:dyDescent="0.2">
      <c r="B1587" s="88"/>
      <c r="C1587" s="2"/>
      <c r="D1587" s="45"/>
      <c r="E1587" s="2"/>
      <c r="F1587" s="9">
        <f t="shared" si="41"/>
        <v>0</v>
      </c>
    </row>
    <row r="1588" spans="2:6" x14ac:dyDescent="0.2">
      <c r="B1588" s="86"/>
      <c r="C1588" s="2"/>
      <c r="D1588" s="45"/>
      <c r="E1588" s="2"/>
      <c r="F1588" s="9">
        <f t="shared" si="41"/>
        <v>0</v>
      </c>
    </row>
    <row r="1589" spans="2:6" x14ac:dyDescent="0.2">
      <c r="B1589" s="86"/>
      <c r="C1589" s="2"/>
      <c r="D1589" s="45"/>
      <c r="E1589" s="2"/>
      <c r="F1589" s="9">
        <f t="shared" si="41"/>
        <v>0</v>
      </c>
    </row>
    <row r="1590" spans="2:6" x14ac:dyDescent="0.2">
      <c r="B1590" s="86"/>
      <c r="C1590" s="2"/>
      <c r="D1590" s="45"/>
      <c r="E1590" s="2"/>
      <c r="F1590" s="9">
        <f t="shared" si="41"/>
        <v>0</v>
      </c>
    </row>
    <row r="1591" spans="2:6" x14ac:dyDescent="0.2">
      <c r="B1591" s="86"/>
      <c r="C1591" s="2"/>
      <c r="D1591" s="45"/>
      <c r="E1591" s="2"/>
      <c r="F1591" s="9">
        <f t="shared" si="41"/>
        <v>0</v>
      </c>
    </row>
    <row r="1592" spans="2:6" x14ac:dyDescent="0.2">
      <c r="B1592" s="86"/>
      <c r="C1592" s="2"/>
      <c r="D1592" s="45"/>
      <c r="E1592" s="2"/>
      <c r="F1592" s="9">
        <f t="shared" si="41"/>
        <v>0</v>
      </c>
    </row>
    <row r="1593" spans="2:6" x14ac:dyDescent="0.2">
      <c r="B1593" s="86"/>
      <c r="C1593" s="2"/>
      <c r="D1593" s="45"/>
      <c r="E1593" s="2"/>
      <c r="F1593" s="9">
        <f t="shared" si="41"/>
        <v>0</v>
      </c>
    </row>
    <row r="1594" spans="2:6" x14ac:dyDescent="0.2">
      <c r="B1594" s="86"/>
      <c r="C1594" s="2"/>
      <c r="D1594" s="45"/>
      <c r="E1594" s="2"/>
      <c r="F1594" s="9">
        <f t="shared" si="41"/>
        <v>0</v>
      </c>
    </row>
    <row r="1595" spans="2:6" x14ac:dyDescent="0.2">
      <c r="B1595" s="86"/>
      <c r="C1595" s="2"/>
      <c r="D1595" s="45"/>
      <c r="E1595" s="2"/>
      <c r="F1595" s="9">
        <f t="shared" si="41"/>
        <v>0</v>
      </c>
    </row>
    <row r="1596" spans="2:6" x14ac:dyDescent="0.2">
      <c r="B1596" s="86"/>
      <c r="C1596" s="2"/>
      <c r="D1596" s="45"/>
      <c r="E1596" s="2"/>
      <c r="F1596" s="9">
        <f t="shared" si="41"/>
        <v>0</v>
      </c>
    </row>
    <row r="1597" spans="2:6" x14ac:dyDescent="0.2">
      <c r="B1597" s="86"/>
      <c r="C1597" s="2"/>
      <c r="D1597" s="45"/>
      <c r="E1597" s="2"/>
      <c r="F1597" s="9">
        <f t="shared" si="41"/>
        <v>0</v>
      </c>
    </row>
    <row r="1598" spans="2:6" x14ac:dyDescent="0.2">
      <c r="B1598" s="87"/>
      <c r="C1598" s="2"/>
      <c r="D1598" s="45"/>
      <c r="E1598" s="2"/>
      <c r="F1598" s="9">
        <f t="shared" si="41"/>
        <v>0</v>
      </c>
    </row>
    <row r="1599" spans="2:6" x14ac:dyDescent="0.2">
      <c r="B1599" s="86"/>
      <c r="C1599" s="2"/>
      <c r="D1599" s="45"/>
      <c r="E1599" s="2"/>
      <c r="F1599" s="9">
        <f t="shared" si="41"/>
        <v>0</v>
      </c>
    </row>
    <row r="1600" spans="2:6" x14ac:dyDescent="0.2">
      <c r="B1600" s="86"/>
      <c r="C1600" s="2"/>
      <c r="D1600" s="45"/>
      <c r="E1600" s="2"/>
      <c r="F1600" s="9">
        <f t="shared" si="41"/>
        <v>0</v>
      </c>
    </row>
    <row r="1601" spans="2:6" x14ac:dyDescent="0.2">
      <c r="B1601" s="86"/>
      <c r="C1601" s="2"/>
      <c r="D1601" s="45"/>
      <c r="E1601" s="2"/>
      <c r="F1601" s="9">
        <f t="shared" si="41"/>
        <v>0</v>
      </c>
    </row>
    <row r="1602" spans="2:6" x14ac:dyDescent="0.2">
      <c r="B1602" s="86"/>
      <c r="C1602" s="2"/>
      <c r="D1602" s="45"/>
      <c r="E1602" s="2"/>
      <c r="F1602" s="9">
        <f t="shared" si="41"/>
        <v>0</v>
      </c>
    </row>
    <row r="1603" spans="2:6" x14ac:dyDescent="0.2">
      <c r="B1603" s="86"/>
      <c r="C1603" s="2"/>
      <c r="D1603" s="45"/>
      <c r="E1603" s="2"/>
      <c r="F1603" s="9">
        <f t="shared" si="41"/>
        <v>0</v>
      </c>
    </row>
    <row r="1604" spans="2:6" x14ac:dyDescent="0.2">
      <c r="B1604" s="86"/>
      <c r="C1604" s="2"/>
      <c r="D1604" s="45"/>
      <c r="E1604" s="2"/>
      <c r="F1604" s="9">
        <f t="shared" si="41"/>
        <v>0</v>
      </c>
    </row>
    <row r="1605" spans="2:6" x14ac:dyDescent="0.2">
      <c r="B1605" s="86"/>
      <c r="C1605" s="2"/>
      <c r="D1605" s="45"/>
      <c r="E1605" s="2"/>
      <c r="F1605" s="9">
        <f t="shared" si="41"/>
        <v>0</v>
      </c>
    </row>
    <row r="1606" spans="2:6" x14ac:dyDescent="0.2">
      <c r="B1606" s="86"/>
      <c r="C1606" s="56"/>
      <c r="D1606" s="45"/>
      <c r="E1606" s="2"/>
      <c r="F1606" s="9">
        <f t="shared" si="41"/>
        <v>0</v>
      </c>
    </row>
    <row r="1607" spans="2:6" x14ac:dyDescent="0.2">
      <c r="B1607" s="8"/>
      <c r="C1607" s="159"/>
      <c r="D1607" s="160"/>
      <c r="E1607" s="161"/>
      <c r="F1607" s="70"/>
    </row>
    <row r="1608" spans="2:6" ht="15.75" thickBot="1" x14ac:dyDescent="0.25">
      <c r="B1608" s="144" t="s">
        <v>11</v>
      </c>
      <c r="C1608" s="145"/>
      <c r="D1608" s="145"/>
      <c r="E1608" s="146"/>
      <c r="F1608" s="10">
        <f>SUM(F1573:F1607)</f>
        <v>0</v>
      </c>
    </row>
    <row r="1609" spans="2:6" x14ac:dyDescent="0.2">
      <c r="B1609" s="153" t="s">
        <v>7</v>
      </c>
      <c r="C1609" s="154"/>
      <c r="D1609" s="154"/>
      <c r="E1609" s="155"/>
      <c r="F1609" s="17">
        <v>476000</v>
      </c>
    </row>
    <row r="1610" spans="2:6" x14ac:dyDescent="0.2">
      <c r="B1610" s="147" t="s">
        <v>8</v>
      </c>
      <c r="C1610" s="148"/>
      <c r="D1610" s="148"/>
      <c r="E1610" s="149"/>
      <c r="F1610" s="28">
        <f>F1608+F1609</f>
        <v>476000</v>
      </c>
    </row>
    <row r="1611" spans="2:6" x14ac:dyDescent="0.2">
      <c r="B1611" s="147" t="s">
        <v>9</v>
      </c>
      <c r="C1611" s="148"/>
      <c r="D1611" s="148"/>
      <c r="E1611" s="149"/>
      <c r="F1611" s="39"/>
    </row>
    <row r="1612" spans="2:6" ht="15.75" thickBot="1" x14ac:dyDescent="0.25">
      <c r="B1612" s="150" t="s">
        <v>10</v>
      </c>
      <c r="C1612" s="151"/>
      <c r="D1612" s="151"/>
      <c r="E1612" s="152"/>
      <c r="F1612" s="12">
        <f>F1611-F1610</f>
        <v>-476000</v>
      </c>
    </row>
  </sheetData>
  <mergeCells count="441">
    <mergeCell ref="B1609:E1609"/>
    <mergeCell ref="B1610:E1610"/>
    <mergeCell ref="B1611:E1611"/>
    <mergeCell ref="B1612:E1612"/>
    <mergeCell ref="B1563:E1563"/>
    <mergeCell ref="B1564:E1564"/>
    <mergeCell ref="B1565:E1565"/>
    <mergeCell ref="B1566:E1566"/>
    <mergeCell ref="C1568:F1568"/>
    <mergeCell ref="C1569:F1569"/>
    <mergeCell ref="C1570:F1570"/>
    <mergeCell ref="C1571:F1571"/>
    <mergeCell ref="B1608:E1608"/>
    <mergeCell ref="C1607:E1607"/>
    <mergeCell ref="B1517:E1517"/>
    <mergeCell ref="B1518:E1518"/>
    <mergeCell ref="B1519:E1519"/>
    <mergeCell ref="B1520:E1520"/>
    <mergeCell ref="C1522:F1522"/>
    <mergeCell ref="C1523:F1523"/>
    <mergeCell ref="C1524:F1524"/>
    <mergeCell ref="C1525:F1525"/>
    <mergeCell ref="B1562:E1562"/>
    <mergeCell ref="C1561:E1561"/>
    <mergeCell ref="B1471:E1471"/>
    <mergeCell ref="B1472:E1472"/>
    <mergeCell ref="B1473:E1473"/>
    <mergeCell ref="B1474:E1474"/>
    <mergeCell ref="C1476:F1476"/>
    <mergeCell ref="C1477:F1477"/>
    <mergeCell ref="C1478:F1478"/>
    <mergeCell ref="C1479:F1479"/>
    <mergeCell ref="B1516:E1516"/>
    <mergeCell ref="C1515:E1515"/>
    <mergeCell ref="B1425:E1425"/>
    <mergeCell ref="B1426:E1426"/>
    <mergeCell ref="B1427:E1427"/>
    <mergeCell ref="B1428:E1428"/>
    <mergeCell ref="C1430:F1430"/>
    <mergeCell ref="C1431:F1431"/>
    <mergeCell ref="C1432:F1432"/>
    <mergeCell ref="C1433:F1433"/>
    <mergeCell ref="B1470:E1470"/>
    <mergeCell ref="C1469:E1469"/>
    <mergeCell ref="B1379:E1379"/>
    <mergeCell ref="B1380:E1380"/>
    <mergeCell ref="B1381:E1381"/>
    <mergeCell ref="B1382:E1382"/>
    <mergeCell ref="C1384:F1384"/>
    <mergeCell ref="C1385:F1385"/>
    <mergeCell ref="C1386:F1386"/>
    <mergeCell ref="C1387:F1387"/>
    <mergeCell ref="B1424:E1424"/>
    <mergeCell ref="C1423:E1423"/>
    <mergeCell ref="B1378:E1378"/>
    <mergeCell ref="B1287:E1287"/>
    <mergeCell ref="B1288:E1288"/>
    <mergeCell ref="B1289:E1289"/>
    <mergeCell ref="B1290:E1290"/>
    <mergeCell ref="C1292:F1292"/>
    <mergeCell ref="C1293:F1293"/>
    <mergeCell ref="C1294:F1294"/>
    <mergeCell ref="C1295:F1295"/>
    <mergeCell ref="B1332:E1332"/>
    <mergeCell ref="C1331:E1331"/>
    <mergeCell ref="C1377:E1377"/>
    <mergeCell ref="B1333:E1333"/>
    <mergeCell ref="B1334:E1334"/>
    <mergeCell ref="B1335:E1335"/>
    <mergeCell ref="B1336:E1336"/>
    <mergeCell ref="C1338:F1338"/>
    <mergeCell ref="C1339:F1339"/>
    <mergeCell ref="C1340:F1340"/>
    <mergeCell ref="C1341:F1341"/>
    <mergeCell ref="C1249:F1249"/>
    <mergeCell ref="B1286:E1286"/>
    <mergeCell ref="B1195:E1195"/>
    <mergeCell ref="B1196:E1196"/>
    <mergeCell ref="B1197:E1197"/>
    <mergeCell ref="B1198:E1198"/>
    <mergeCell ref="C1200:F1200"/>
    <mergeCell ref="C1201:F1201"/>
    <mergeCell ref="C1202:F1202"/>
    <mergeCell ref="C1203:F1203"/>
    <mergeCell ref="B1240:E1240"/>
    <mergeCell ref="C1239:E1239"/>
    <mergeCell ref="C1285:E1285"/>
    <mergeCell ref="B1241:E1241"/>
    <mergeCell ref="B1242:E1242"/>
    <mergeCell ref="B1243:E1243"/>
    <mergeCell ref="B1244:E1244"/>
    <mergeCell ref="C1246:F1246"/>
    <mergeCell ref="C1247:F1247"/>
    <mergeCell ref="C1248:F1248"/>
    <mergeCell ref="B1149:E1149"/>
    <mergeCell ref="B1150:E1150"/>
    <mergeCell ref="B1151:E1151"/>
    <mergeCell ref="B1152:E1152"/>
    <mergeCell ref="C1154:F1154"/>
    <mergeCell ref="C1155:F1155"/>
    <mergeCell ref="C1156:F1156"/>
    <mergeCell ref="C1157:F1157"/>
    <mergeCell ref="B1194:E1194"/>
    <mergeCell ref="C1193:E1193"/>
    <mergeCell ref="B1103:E1103"/>
    <mergeCell ref="B1104:E1104"/>
    <mergeCell ref="B1105:E1105"/>
    <mergeCell ref="B1106:E1106"/>
    <mergeCell ref="C1108:F1108"/>
    <mergeCell ref="C1109:F1109"/>
    <mergeCell ref="C1110:F1110"/>
    <mergeCell ref="C1111:F1111"/>
    <mergeCell ref="B1148:E1148"/>
    <mergeCell ref="C1147:E1147"/>
    <mergeCell ref="B1057:E1057"/>
    <mergeCell ref="B1058:E1058"/>
    <mergeCell ref="B1059:E1059"/>
    <mergeCell ref="B1060:E1060"/>
    <mergeCell ref="C1062:F1062"/>
    <mergeCell ref="C1063:F1063"/>
    <mergeCell ref="C1064:F1064"/>
    <mergeCell ref="C1065:F1065"/>
    <mergeCell ref="B1102:E1102"/>
    <mergeCell ref="C1101:E1101"/>
    <mergeCell ref="C878:F878"/>
    <mergeCell ref="C879:F879"/>
    <mergeCell ref="C1018:F1018"/>
    <mergeCell ref="C1019:F1019"/>
    <mergeCell ref="B1056:E1056"/>
    <mergeCell ref="C1017:F1017"/>
    <mergeCell ref="C927:F927"/>
    <mergeCell ref="C926:F926"/>
    <mergeCell ref="C925:F925"/>
    <mergeCell ref="C924:F924"/>
    <mergeCell ref="C970:F970"/>
    <mergeCell ref="C971:F971"/>
    <mergeCell ref="C972:F972"/>
    <mergeCell ref="C973:F973"/>
    <mergeCell ref="B1010:E1010"/>
    <mergeCell ref="B968:E968"/>
    <mergeCell ref="B967:E967"/>
    <mergeCell ref="B966:E966"/>
    <mergeCell ref="B965:E965"/>
    <mergeCell ref="B964:E964"/>
    <mergeCell ref="C1055:E1055"/>
    <mergeCell ref="B922:E922"/>
    <mergeCell ref="B1011:E1011"/>
    <mergeCell ref="B1012:E1012"/>
    <mergeCell ref="B1013:E1013"/>
    <mergeCell ref="B1014:E1014"/>
    <mergeCell ref="C1016:F1016"/>
    <mergeCell ref="C833:F833"/>
    <mergeCell ref="B827:E827"/>
    <mergeCell ref="B828:E828"/>
    <mergeCell ref="C880:F880"/>
    <mergeCell ref="C881:F881"/>
    <mergeCell ref="B918:E918"/>
    <mergeCell ref="C871:E871"/>
    <mergeCell ref="C917:E917"/>
    <mergeCell ref="C963:E963"/>
    <mergeCell ref="B919:E919"/>
    <mergeCell ref="B920:E920"/>
    <mergeCell ref="B921:E921"/>
    <mergeCell ref="C1009:E1009"/>
    <mergeCell ref="B876:E876"/>
    <mergeCell ref="B875:E875"/>
    <mergeCell ref="B874:E874"/>
    <mergeCell ref="B873:E873"/>
    <mergeCell ref="B872:E872"/>
    <mergeCell ref="C835:F835"/>
    <mergeCell ref="C834:F834"/>
    <mergeCell ref="C832:F832"/>
    <mergeCell ref="B644:E644"/>
    <mergeCell ref="B692:E692"/>
    <mergeCell ref="C697:F697"/>
    <mergeCell ref="C696:F696"/>
    <mergeCell ref="C695:F695"/>
    <mergeCell ref="C694:F694"/>
    <mergeCell ref="B735:E735"/>
    <mergeCell ref="C651:F651"/>
    <mergeCell ref="B645:E645"/>
    <mergeCell ref="B646:E646"/>
    <mergeCell ref="C648:F648"/>
    <mergeCell ref="C649:F649"/>
    <mergeCell ref="C650:F650"/>
    <mergeCell ref="B688:E688"/>
    <mergeCell ref="B689:E689"/>
    <mergeCell ref="B690:E690"/>
    <mergeCell ref="C687:E687"/>
    <mergeCell ref="C733:E733"/>
    <mergeCell ref="C557:F557"/>
    <mergeCell ref="B552:E552"/>
    <mergeCell ref="B642:E642"/>
    <mergeCell ref="B643:E643"/>
    <mergeCell ref="B598:E598"/>
    <mergeCell ref="B599:E599"/>
    <mergeCell ref="B600:E600"/>
    <mergeCell ref="B553:E553"/>
    <mergeCell ref="B554:E554"/>
    <mergeCell ref="C603:F603"/>
    <mergeCell ref="C604:F604"/>
    <mergeCell ref="C605:F605"/>
    <mergeCell ref="C602:F602"/>
    <mergeCell ref="B597:E597"/>
    <mergeCell ref="B596:E596"/>
    <mergeCell ref="C559:F559"/>
    <mergeCell ref="C641:E641"/>
    <mergeCell ref="K77:M77"/>
    <mergeCell ref="K78:M78"/>
    <mergeCell ref="K79:M79"/>
    <mergeCell ref="I69:J69"/>
    <mergeCell ref="I70:J70"/>
    <mergeCell ref="I71:J71"/>
    <mergeCell ref="K70:M70"/>
    <mergeCell ref="K71:M71"/>
    <mergeCell ref="K69:M69"/>
    <mergeCell ref="K53:M53"/>
    <mergeCell ref="K54:M54"/>
    <mergeCell ref="I83:J83"/>
    <mergeCell ref="K83:M83"/>
    <mergeCell ref="K80:M80"/>
    <mergeCell ref="I80:J80"/>
    <mergeCell ref="K58:M58"/>
    <mergeCell ref="K59:M59"/>
    <mergeCell ref="K60:M60"/>
    <mergeCell ref="K61:M61"/>
    <mergeCell ref="K62:M62"/>
    <mergeCell ref="K63:M63"/>
    <mergeCell ref="K64:M64"/>
    <mergeCell ref="K65:M65"/>
    <mergeCell ref="I66:J66"/>
    <mergeCell ref="I67:J67"/>
    <mergeCell ref="I68:J68"/>
    <mergeCell ref="K81:M81"/>
    <mergeCell ref="K82:M82"/>
    <mergeCell ref="K72:M72"/>
    <mergeCell ref="K73:M73"/>
    <mergeCell ref="K74:M74"/>
    <mergeCell ref="K75:M75"/>
    <mergeCell ref="K76:M76"/>
    <mergeCell ref="C97:F97"/>
    <mergeCell ref="C135:E135"/>
    <mergeCell ref="C181:E181"/>
    <mergeCell ref="K84:M84"/>
    <mergeCell ref="E2:F2"/>
    <mergeCell ref="B45:E45"/>
    <mergeCell ref="B46:E46"/>
    <mergeCell ref="B47:E47"/>
    <mergeCell ref="B48:E48"/>
    <mergeCell ref="C50:F50"/>
    <mergeCell ref="C51:F51"/>
    <mergeCell ref="B44:E44"/>
    <mergeCell ref="C4:F4"/>
    <mergeCell ref="C5:F5"/>
    <mergeCell ref="C6:F6"/>
    <mergeCell ref="C7:F7"/>
    <mergeCell ref="B2:D2"/>
    <mergeCell ref="C52:F52"/>
    <mergeCell ref="C53:F53"/>
    <mergeCell ref="K67:M67"/>
    <mergeCell ref="K68:M68"/>
    <mergeCell ref="K49:M49"/>
    <mergeCell ref="K50:M50"/>
    <mergeCell ref="K51:M51"/>
    <mergeCell ref="B90:E90"/>
    <mergeCell ref="B138:E138"/>
    <mergeCell ref="B139:E139"/>
    <mergeCell ref="B140:E140"/>
    <mergeCell ref="C142:F142"/>
    <mergeCell ref="C143:F143"/>
    <mergeCell ref="I49:J49"/>
    <mergeCell ref="I50:J50"/>
    <mergeCell ref="I51:J51"/>
    <mergeCell ref="I52:J52"/>
    <mergeCell ref="I53:J53"/>
    <mergeCell ref="I54:J54"/>
    <mergeCell ref="I56:J56"/>
    <mergeCell ref="I55:J55"/>
    <mergeCell ref="I57:J57"/>
    <mergeCell ref="I58:J58"/>
    <mergeCell ref="I60:J60"/>
    <mergeCell ref="I59:J59"/>
    <mergeCell ref="I84:J84"/>
    <mergeCell ref="B91:E91"/>
    <mergeCell ref="B92:E92"/>
    <mergeCell ref="B93:E93"/>
    <mergeCell ref="B94:E94"/>
    <mergeCell ref="C96:F96"/>
    <mergeCell ref="H2:M2"/>
    <mergeCell ref="H41:J41"/>
    <mergeCell ref="H42:J42"/>
    <mergeCell ref="H43:J43"/>
    <mergeCell ref="H44:J44"/>
    <mergeCell ref="H45:J45"/>
    <mergeCell ref="H46:J46"/>
    <mergeCell ref="K41:M41"/>
    <mergeCell ref="K42:M42"/>
    <mergeCell ref="K44:M44"/>
    <mergeCell ref="K45:M45"/>
    <mergeCell ref="K46:M46"/>
    <mergeCell ref="K40:M40"/>
    <mergeCell ref="H40:J40"/>
    <mergeCell ref="K43:M43"/>
    <mergeCell ref="K47:M47"/>
    <mergeCell ref="H47:J47"/>
    <mergeCell ref="I48:J48"/>
    <mergeCell ref="K48:M48"/>
    <mergeCell ref="I81:J81"/>
    <mergeCell ref="I82:J82"/>
    <mergeCell ref="I72:J72"/>
    <mergeCell ref="I73:J73"/>
    <mergeCell ref="I74:J74"/>
    <mergeCell ref="I75:J75"/>
    <mergeCell ref="I76:J76"/>
    <mergeCell ref="I77:J77"/>
    <mergeCell ref="I78:J78"/>
    <mergeCell ref="I79:J79"/>
    <mergeCell ref="K55:M55"/>
    <mergeCell ref="K56:M56"/>
    <mergeCell ref="K66:M66"/>
    <mergeCell ref="K57:M57"/>
    <mergeCell ref="I61:J61"/>
    <mergeCell ref="I62:J62"/>
    <mergeCell ref="I63:J63"/>
    <mergeCell ref="I65:J65"/>
    <mergeCell ref="I64:J64"/>
    <mergeCell ref="K52:M52"/>
    <mergeCell ref="C234:F234"/>
    <mergeCell ref="C235:F235"/>
    <mergeCell ref="C144:F144"/>
    <mergeCell ref="C191:F191"/>
    <mergeCell ref="C190:F190"/>
    <mergeCell ref="C98:F98"/>
    <mergeCell ref="C99:F99"/>
    <mergeCell ref="B136:E136"/>
    <mergeCell ref="B137:E137"/>
    <mergeCell ref="C227:E227"/>
    <mergeCell ref="B232:E232"/>
    <mergeCell ref="B231:E231"/>
    <mergeCell ref="B230:E230"/>
    <mergeCell ref="B229:E229"/>
    <mergeCell ref="B228:E228"/>
    <mergeCell ref="B184:E184"/>
    <mergeCell ref="C188:F188"/>
    <mergeCell ref="C189:F189"/>
    <mergeCell ref="B185:E185"/>
    <mergeCell ref="B186:E186"/>
    <mergeCell ref="C145:F145"/>
    <mergeCell ref="B182:E182"/>
    <mergeCell ref="B183:E183"/>
    <mergeCell ref="B322:E322"/>
    <mergeCell ref="B323:E323"/>
    <mergeCell ref="C510:F510"/>
    <mergeCell ref="C511:F511"/>
    <mergeCell ref="C512:F512"/>
    <mergeCell ref="C513:F513"/>
    <mergeCell ref="C329:F329"/>
    <mergeCell ref="B366:E366"/>
    <mergeCell ref="B367:E367"/>
    <mergeCell ref="B368:E368"/>
    <mergeCell ref="B369:E369"/>
    <mergeCell ref="B370:E370"/>
    <mergeCell ref="C374:F374"/>
    <mergeCell ref="C375:F375"/>
    <mergeCell ref="B412:E412"/>
    <mergeCell ref="B413:E413"/>
    <mergeCell ref="B414:E414"/>
    <mergeCell ref="B460:E460"/>
    <mergeCell ref="B461:E461"/>
    <mergeCell ref="B462:E462"/>
    <mergeCell ref="C464:F464"/>
    <mergeCell ref="B504:E504"/>
    <mergeCell ref="B505:E505"/>
    <mergeCell ref="B506:E506"/>
    <mergeCell ref="C236:F236"/>
    <mergeCell ref="C237:F237"/>
    <mergeCell ref="B416:E416"/>
    <mergeCell ref="B278:E278"/>
    <mergeCell ref="C280:F280"/>
    <mergeCell ref="C281:F281"/>
    <mergeCell ref="C282:F282"/>
    <mergeCell ref="C283:F283"/>
    <mergeCell ref="B324:E324"/>
    <mergeCell ref="C326:F326"/>
    <mergeCell ref="C327:F327"/>
    <mergeCell ref="C328:F328"/>
    <mergeCell ref="B321:E321"/>
    <mergeCell ref="B320:E320"/>
    <mergeCell ref="B274:E274"/>
    <mergeCell ref="B275:E275"/>
    <mergeCell ref="B276:E276"/>
    <mergeCell ref="B277:E277"/>
    <mergeCell ref="C411:E411"/>
    <mergeCell ref="C273:E273"/>
    <mergeCell ref="C319:E319"/>
    <mergeCell ref="C365:E365"/>
    <mergeCell ref="C372:F372"/>
    <mergeCell ref="C373:F373"/>
    <mergeCell ref="B415:E415"/>
    <mergeCell ref="C418:F418"/>
    <mergeCell ref="C465:F465"/>
    <mergeCell ref="C466:F466"/>
    <mergeCell ref="C467:F467"/>
    <mergeCell ref="C740:F740"/>
    <mergeCell ref="C741:F741"/>
    <mergeCell ref="C742:F742"/>
    <mergeCell ref="C419:F419"/>
    <mergeCell ref="C420:F420"/>
    <mergeCell ref="C421:F421"/>
    <mergeCell ref="B458:E458"/>
    <mergeCell ref="B459:E459"/>
    <mergeCell ref="B691:E691"/>
    <mergeCell ref="C457:E457"/>
    <mergeCell ref="C503:E503"/>
    <mergeCell ref="C549:E549"/>
    <mergeCell ref="C595:E595"/>
    <mergeCell ref="C558:F558"/>
    <mergeCell ref="B507:E507"/>
    <mergeCell ref="B508:E508"/>
    <mergeCell ref="B550:E550"/>
    <mergeCell ref="B551:E551"/>
    <mergeCell ref="C556:F556"/>
    <mergeCell ref="C787:F787"/>
    <mergeCell ref="C788:F788"/>
    <mergeCell ref="B734:E734"/>
    <mergeCell ref="B829:E829"/>
    <mergeCell ref="B830:E830"/>
    <mergeCell ref="B738:E738"/>
    <mergeCell ref="B736:E736"/>
    <mergeCell ref="B737:E737"/>
    <mergeCell ref="B780:E780"/>
    <mergeCell ref="B781:E781"/>
    <mergeCell ref="B782:E782"/>
    <mergeCell ref="B783:E783"/>
    <mergeCell ref="B784:E784"/>
    <mergeCell ref="C786:F786"/>
    <mergeCell ref="C825:E825"/>
    <mergeCell ref="B826:E826"/>
    <mergeCell ref="C789:F789"/>
    <mergeCell ref="C779:E779"/>
    <mergeCell ref="C743:F743"/>
  </mergeCells>
  <phoneticPr fontId="3" alignment="center"/>
  <pageMargins left="0.7" right="0.7" top="0.75" bottom="0.75" header="0.3" footer="0.3"/>
  <pageSetup scale="0" firstPageNumber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6D73-EB72-B94D-BD60-E97DF7E925FE}">
  <dimension ref="A1"/>
  <sheetViews>
    <sheetView zoomScaleNormal="60" zoomScaleSheetLayoutView="100" workbookViewId="0">
      <selection activeCell="A24" sqref="A24:XFD24"/>
    </sheetView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1A165-3394-9B42-9F7F-44E2F23FCABA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E2B6-B6F4-7347-92B7-2ABE5843EAA2}">
  <dimension ref="A1"/>
  <sheetViews>
    <sheetView zoomScaleNormal="60" zoomScaleSheetLayoutView="100"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Lembar1</vt:lpstr>
      <vt:lpstr>Lembar4</vt:lpstr>
      <vt:lpstr>Lembar3</vt:lpstr>
      <vt:lpstr>Lembar2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mohmaftukhin989@gmail.com</dc:creator>
  <cp:lastModifiedBy>sri rahayu</cp:lastModifiedBy>
  <dcterms:created xsi:type="dcterms:W3CDTF">2023-11-20T18:25:06Z</dcterms:created>
  <dcterms:modified xsi:type="dcterms:W3CDTF">2025-02-06T16:03:05Z</dcterms:modified>
</cp:coreProperties>
</file>