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xr:revisionPtr revIDLastSave="0" documentId="8_{1CF3B0EA-F96E-A34D-A6D5-CB9D3F788DE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  <sheet name="Lembar2" sheetId="2" r:id="rId2"/>
  </sheets>
  <definedNames>
    <definedName name="_xlnm._FilterDatabase" localSheetId="0" hidden="1">Lembar1!$B$823:$F$854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8" i="1" l="1"/>
  <c r="F900" i="1"/>
  <c r="F907" i="1"/>
  <c r="F899" i="1"/>
  <c r="F905" i="1"/>
  <c r="F903" i="1"/>
  <c r="F924" i="1"/>
  <c r="F198" i="1"/>
  <c r="F199" i="1"/>
  <c r="F202" i="1"/>
  <c r="F211" i="1"/>
  <c r="F215" i="1"/>
  <c r="F216" i="1"/>
  <c r="F217" i="1"/>
  <c r="F218" i="1"/>
  <c r="F219" i="1"/>
  <c r="F195" i="1"/>
  <c r="F205" i="1"/>
  <c r="F207" i="1"/>
  <c r="F196" i="1"/>
  <c r="F201" i="1"/>
  <c r="F204" i="1"/>
  <c r="F197" i="1"/>
  <c r="F210" i="1"/>
  <c r="F221" i="1"/>
  <c r="F223" i="1"/>
  <c r="F225" i="1"/>
  <c r="K45" i="1"/>
  <c r="F926" i="1"/>
  <c r="F714" i="1"/>
  <c r="F715" i="1"/>
  <c r="F722" i="1"/>
  <c r="F713" i="1"/>
  <c r="F721" i="1"/>
  <c r="F727" i="1"/>
  <c r="F739" i="1"/>
  <c r="F47" i="1"/>
  <c r="F49" i="1"/>
  <c r="F50" i="1"/>
  <c r="F73" i="1"/>
  <c r="F75" i="1"/>
  <c r="F393" i="1"/>
  <c r="F397" i="1"/>
  <c r="F380" i="1"/>
  <c r="F382" i="1"/>
  <c r="F389" i="1"/>
  <c r="F383" i="1"/>
  <c r="F406" i="1"/>
  <c r="F417" i="1"/>
  <c r="F418" i="1"/>
  <c r="F419" i="1"/>
  <c r="F443" i="1"/>
  <c r="F445" i="1"/>
  <c r="F252" i="1"/>
  <c r="F247" i="1"/>
  <c r="F235" i="1"/>
  <c r="F233" i="1"/>
  <c r="F232" i="1"/>
  <c r="F255" i="1"/>
  <c r="F241" i="1"/>
  <c r="F234" i="1"/>
  <c r="F244" i="1"/>
  <c r="F236" i="1"/>
  <c r="F246" i="1"/>
  <c r="F251" i="1"/>
  <c r="F249" i="1"/>
  <c r="F256" i="1"/>
  <c r="F257" i="1"/>
  <c r="F254" i="1"/>
  <c r="F253" i="1"/>
  <c r="F240" i="1"/>
  <c r="F248" i="1"/>
  <c r="F238" i="1"/>
  <c r="F258" i="1"/>
  <c r="F260" i="1"/>
  <c r="P15" i="1"/>
  <c r="Q15" i="1"/>
  <c r="R15" i="1"/>
  <c r="K15" i="1"/>
  <c r="F826" i="1"/>
  <c r="F824" i="1"/>
  <c r="F825" i="1"/>
  <c r="F850" i="1"/>
  <c r="F852" i="1"/>
  <c r="F854" i="1"/>
  <c r="P29" i="1"/>
  <c r="Q29" i="1"/>
  <c r="R29" i="1"/>
  <c r="K29" i="1"/>
  <c r="P30" i="1"/>
  <c r="R30" i="1"/>
  <c r="K30" i="1"/>
  <c r="P23" i="1"/>
  <c r="F676" i="1"/>
  <c r="F677" i="1"/>
  <c r="F697" i="1"/>
  <c r="F695" i="1"/>
  <c r="F678" i="1"/>
  <c r="F698" i="1"/>
  <c r="F699" i="1"/>
  <c r="F700" i="1"/>
  <c r="F680" i="1"/>
  <c r="F681" i="1"/>
  <c r="F702" i="1"/>
  <c r="K32" i="1"/>
  <c r="K35" i="1"/>
  <c r="Q30" i="1"/>
  <c r="P26" i="1"/>
  <c r="R26" i="1"/>
  <c r="P27" i="1"/>
  <c r="R27" i="1"/>
  <c r="P28" i="1"/>
  <c r="Q28" i="1"/>
  <c r="R28" i="1"/>
  <c r="Q26" i="1"/>
  <c r="Q27" i="1"/>
  <c r="F105" i="1"/>
  <c r="F106" i="1"/>
  <c r="F107" i="1"/>
  <c r="F108" i="1"/>
  <c r="F109" i="1"/>
  <c r="F84" i="1"/>
  <c r="F85" i="1"/>
  <c r="F86" i="1"/>
  <c r="F87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110" i="1"/>
  <c r="F68" i="1"/>
  <c r="F69" i="1"/>
  <c r="F70" i="1"/>
  <c r="F71" i="1"/>
  <c r="F48" i="1"/>
  <c r="F72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9" i="1"/>
  <c r="F10" i="1"/>
  <c r="F11" i="1"/>
  <c r="F12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35" i="1"/>
  <c r="P24" i="1"/>
  <c r="Q24" i="1"/>
  <c r="R24" i="1"/>
  <c r="K24" i="1"/>
  <c r="P25" i="1"/>
  <c r="Q25" i="1"/>
  <c r="R25" i="1"/>
  <c r="K25" i="1"/>
  <c r="K26" i="1"/>
  <c r="K27" i="1"/>
  <c r="K28" i="1"/>
  <c r="F38" i="1"/>
  <c r="K37" i="1"/>
  <c r="Q23" i="1"/>
  <c r="F141" i="1"/>
  <c r="F142" i="1"/>
  <c r="F143" i="1"/>
  <c r="F144" i="1"/>
  <c r="F145" i="1"/>
  <c r="F146" i="1"/>
  <c r="F177" i="1"/>
  <c r="F178" i="1"/>
  <c r="F179" i="1"/>
  <c r="F180" i="1"/>
  <c r="F181" i="1"/>
  <c r="F182" i="1"/>
  <c r="F183" i="1"/>
  <c r="F220" i="1"/>
  <c r="F290" i="1"/>
  <c r="F291" i="1"/>
  <c r="F292" i="1"/>
  <c r="F293" i="1"/>
  <c r="F326" i="1"/>
  <c r="F327" i="1"/>
  <c r="F328" i="1"/>
  <c r="F329" i="1"/>
  <c r="F330" i="1"/>
  <c r="F364" i="1"/>
  <c r="F365" i="1"/>
  <c r="F366" i="1"/>
  <c r="F367" i="1"/>
  <c r="F400" i="1"/>
  <c r="F401" i="1"/>
  <c r="F402" i="1"/>
  <c r="F403" i="1"/>
  <c r="F404" i="1"/>
  <c r="F405" i="1"/>
  <c r="F438" i="1"/>
  <c r="F439" i="1"/>
  <c r="F440" i="1"/>
  <c r="F441" i="1"/>
  <c r="F474" i="1"/>
  <c r="F475" i="1"/>
  <c r="F476" i="1"/>
  <c r="F477" i="1"/>
  <c r="F478" i="1"/>
  <c r="F511" i="1"/>
  <c r="F512" i="1"/>
  <c r="F513" i="1"/>
  <c r="F514" i="1"/>
  <c r="F515" i="1"/>
  <c r="F516" i="1"/>
  <c r="F548" i="1"/>
  <c r="F549" i="1"/>
  <c r="F550" i="1"/>
  <c r="F551" i="1"/>
  <c r="F552" i="1"/>
  <c r="F586" i="1"/>
  <c r="F587" i="1"/>
  <c r="F588" i="1"/>
  <c r="F589" i="1"/>
  <c r="F623" i="1"/>
  <c r="F624" i="1"/>
  <c r="F625" i="1"/>
  <c r="F626" i="1"/>
  <c r="F659" i="1"/>
  <c r="F660" i="1"/>
  <c r="F661" i="1"/>
  <c r="F662" i="1"/>
  <c r="F663" i="1"/>
  <c r="F696" i="1"/>
  <c r="F733" i="1"/>
  <c r="F734" i="1"/>
  <c r="F735" i="1"/>
  <c r="F736" i="1"/>
  <c r="F737" i="1"/>
  <c r="F770" i="1"/>
  <c r="F771" i="1"/>
  <c r="F772" i="1"/>
  <c r="F773" i="1"/>
  <c r="F774" i="1"/>
  <c r="F775" i="1"/>
  <c r="F808" i="1"/>
  <c r="F809" i="1"/>
  <c r="F810" i="1"/>
  <c r="F811" i="1"/>
  <c r="F845" i="1"/>
  <c r="F846" i="1"/>
  <c r="F847" i="1"/>
  <c r="F848" i="1"/>
  <c r="F881" i="1"/>
  <c r="F882" i="1"/>
  <c r="F883" i="1"/>
  <c r="F884" i="1"/>
  <c r="F885" i="1"/>
  <c r="F919" i="1"/>
  <c r="F920" i="1"/>
  <c r="F921" i="1"/>
  <c r="F922" i="1"/>
  <c r="F923" i="1"/>
  <c r="R23" i="1"/>
  <c r="M25" i="1"/>
  <c r="M26" i="1"/>
  <c r="M27" i="1"/>
  <c r="M28" i="1"/>
  <c r="B333" i="1"/>
  <c r="M29" i="1"/>
  <c r="M30" i="1"/>
  <c r="Q19" i="1"/>
  <c r="Q20" i="1"/>
  <c r="Q21" i="1"/>
  <c r="Q22" i="1"/>
  <c r="P18" i="1"/>
  <c r="P19" i="1"/>
  <c r="P20" i="1"/>
  <c r="P21" i="1"/>
  <c r="P22" i="1"/>
  <c r="F833" i="1"/>
  <c r="F827" i="1"/>
  <c r="F828" i="1"/>
  <c r="F849" i="1"/>
  <c r="F844" i="1"/>
  <c r="F843" i="1"/>
  <c r="F842" i="1"/>
  <c r="F841" i="1"/>
  <c r="F840" i="1"/>
  <c r="F839" i="1"/>
  <c r="F838" i="1"/>
  <c r="F837" i="1"/>
  <c r="F836" i="1"/>
  <c r="F835" i="1"/>
  <c r="F834" i="1"/>
  <c r="F832" i="1"/>
  <c r="F831" i="1"/>
  <c r="F830" i="1"/>
  <c r="F829" i="1"/>
  <c r="F158" i="1"/>
  <c r="F160" i="1"/>
  <c r="F161" i="1"/>
  <c r="F175" i="1"/>
  <c r="F167" i="1"/>
  <c r="F171" i="1"/>
  <c r="F159" i="1"/>
  <c r="F162" i="1"/>
  <c r="F163" i="1"/>
  <c r="F164" i="1"/>
  <c r="F176" i="1"/>
  <c r="F174" i="1"/>
  <c r="F173" i="1"/>
  <c r="F172" i="1"/>
  <c r="F170" i="1"/>
  <c r="F169" i="1"/>
  <c r="F168" i="1"/>
  <c r="F166" i="1"/>
  <c r="F165" i="1"/>
  <c r="F184" i="1"/>
  <c r="F186" i="1"/>
  <c r="F188" i="1"/>
  <c r="P16" i="1"/>
  <c r="Q16" i="1"/>
  <c r="R16" i="1"/>
  <c r="K16" i="1"/>
  <c r="M16" i="1"/>
  <c r="F679" i="1"/>
  <c r="F684" i="1"/>
  <c r="F693" i="1"/>
  <c r="F682" i="1"/>
  <c r="F683" i="1"/>
  <c r="F685" i="1"/>
  <c r="F686" i="1"/>
  <c r="F687" i="1"/>
  <c r="F701" i="1"/>
  <c r="F694" i="1"/>
  <c r="F692" i="1"/>
  <c r="F691" i="1"/>
  <c r="F690" i="1"/>
  <c r="F689" i="1"/>
  <c r="F688" i="1"/>
  <c r="F639" i="1"/>
  <c r="F640" i="1"/>
  <c r="F648" i="1"/>
  <c r="F641" i="1"/>
  <c r="F642" i="1"/>
  <c r="F643" i="1"/>
  <c r="F644" i="1"/>
  <c r="F645" i="1"/>
  <c r="F646" i="1"/>
  <c r="F647" i="1"/>
  <c r="F649" i="1"/>
  <c r="F664" i="1"/>
  <c r="F658" i="1"/>
  <c r="F657" i="1"/>
  <c r="F656" i="1"/>
  <c r="F655" i="1"/>
  <c r="F654" i="1"/>
  <c r="F653" i="1"/>
  <c r="F652" i="1"/>
  <c r="F651" i="1"/>
  <c r="F650" i="1"/>
  <c r="F665" i="1"/>
  <c r="F667" i="1"/>
  <c r="F669" i="1"/>
  <c r="F543" i="1"/>
  <c r="F553" i="1"/>
  <c r="F542" i="1"/>
  <c r="F541" i="1"/>
  <c r="F539" i="1"/>
  <c r="F540" i="1"/>
  <c r="F528" i="1"/>
  <c r="F529" i="1"/>
  <c r="F530" i="1"/>
  <c r="F531" i="1"/>
  <c r="F547" i="1"/>
  <c r="F546" i="1"/>
  <c r="F545" i="1"/>
  <c r="F544" i="1"/>
  <c r="F538" i="1"/>
  <c r="F537" i="1"/>
  <c r="F536" i="1"/>
  <c r="F535" i="1"/>
  <c r="F534" i="1"/>
  <c r="F533" i="1"/>
  <c r="F532" i="1"/>
  <c r="F554" i="1"/>
  <c r="F556" i="1"/>
  <c r="F468" i="1"/>
  <c r="F473" i="1"/>
  <c r="F472" i="1"/>
  <c r="F465" i="1"/>
  <c r="F464" i="1"/>
  <c r="F471" i="1"/>
  <c r="F467" i="1"/>
  <c r="F457" i="1"/>
  <c r="F463" i="1"/>
  <c r="F470" i="1"/>
  <c r="F454" i="1"/>
  <c r="F455" i="1"/>
  <c r="F456" i="1"/>
  <c r="F458" i="1"/>
  <c r="F479" i="1"/>
  <c r="F469" i="1"/>
  <c r="F466" i="1"/>
  <c r="F462" i="1"/>
  <c r="F461" i="1"/>
  <c r="F460" i="1"/>
  <c r="F459" i="1"/>
  <c r="F480" i="1"/>
  <c r="F482" i="1"/>
  <c r="F484" i="1"/>
  <c r="F237" i="1"/>
  <c r="F243" i="1"/>
  <c r="F242" i="1"/>
  <c r="F239" i="1"/>
  <c r="F245" i="1"/>
  <c r="F250" i="1"/>
  <c r="F262" i="1"/>
  <c r="Q6" i="1"/>
  <c r="Q7" i="1"/>
  <c r="Q8" i="1"/>
  <c r="Q9" i="1"/>
  <c r="Q10" i="1"/>
  <c r="Q11" i="1"/>
  <c r="Q12" i="1"/>
  <c r="Q13" i="1"/>
  <c r="Q14" i="1"/>
  <c r="Q17" i="1"/>
  <c r="Q18" i="1"/>
  <c r="F269" i="1"/>
  <c r="F270" i="1"/>
  <c r="F272" i="1"/>
  <c r="F273" i="1"/>
  <c r="F278" i="1"/>
  <c r="F275" i="1"/>
  <c r="F271" i="1"/>
  <c r="F274" i="1"/>
  <c r="F276" i="1"/>
  <c r="F277" i="1"/>
  <c r="F279" i="1"/>
  <c r="F280" i="1"/>
  <c r="F288" i="1"/>
  <c r="F283" i="1"/>
  <c r="F282" i="1"/>
  <c r="F285" i="1"/>
  <c r="F289" i="1"/>
  <c r="F284" i="1"/>
  <c r="F286" i="1"/>
  <c r="F281" i="1"/>
  <c r="F287" i="1"/>
  <c r="F294" i="1"/>
  <c r="F295" i="1"/>
  <c r="F297" i="1"/>
  <c r="F299" i="1"/>
  <c r="P5" i="1"/>
  <c r="F901" i="1"/>
  <c r="F902" i="1"/>
  <c r="F904" i="1"/>
  <c r="F906" i="1"/>
  <c r="F908" i="1"/>
  <c r="F909" i="1"/>
  <c r="F910" i="1"/>
  <c r="F911" i="1"/>
  <c r="F912" i="1"/>
  <c r="F913" i="1"/>
  <c r="F914" i="1"/>
  <c r="F915" i="1"/>
  <c r="F916" i="1"/>
  <c r="F917" i="1"/>
  <c r="F918" i="1"/>
  <c r="F928" i="1"/>
  <c r="K64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6" i="1"/>
  <c r="F887" i="1"/>
  <c r="F889" i="1"/>
  <c r="F891" i="1"/>
  <c r="K63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R20" i="1"/>
  <c r="R21" i="1"/>
  <c r="R22" i="1"/>
  <c r="F804" i="1"/>
  <c r="F805" i="1"/>
  <c r="F806" i="1"/>
  <c r="F807" i="1"/>
  <c r="F812" i="1"/>
  <c r="F767" i="1"/>
  <c r="F768" i="1"/>
  <c r="F769" i="1"/>
  <c r="F728" i="1"/>
  <c r="F729" i="1"/>
  <c r="F730" i="1"/>
  <c r="F731" i="1"/>
  <c r="F732" i="1"/>
  <c r="F619" i="1"/>
  <c r="F620" i="1"/>
  <c r="F621" i="1"/>
  <c r="F622" i="1"/>
  <c r="F582" i="1"/>
  <c r="F583" i="1"/>
  <c r="F584" i="1"/>
  <c r="F585" i="1"/>
  <c r="F590" i="1"/>
  <c r="F508" i="1"/>
  <c r="F509" i="1"/>
  <c r="F510" i="1"/>
  <c r="F434" i="1"/>
  <c r="F435" i="1"/>
  <c r="F436" i="1"/>
  <c r="F437" i="1"/>
  <c r="F398" i="1"/>
  <c r="F399" i="1"/>
  <c r="F360" i="1"/>
  <c r="F361" i="1"/>
  <c r="F362" i="1"/>
  <c r="F363" i="1"/>
  <c r="F323" i="1"/>
  <c r="F324" i="1"/>
  <c r="F325" i="1"/>
  <c r="F212" i="1"/>
  <c r="F213" i="1"/>
  <c r="F214" i="1"/>
  <c r="F137" i="1"/>
  <c r="F138" i="1"/>
  <c r="F139" i="1"/>
  <c r="F140" i="1"/>
  <c r="F40" i="1"/>
  <c r="K23" i="1"/>
  <c r="M23" i="1"/>
  <c r="M24" i="1"/>
  <c r="R19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38" i="1"/>
  <c r="F726" i="1"/>
  <c r="F725" i="1"/>
  <c r="F724" i="1"/>
  <c r="F723" i="1"/>
  <c r="F720" i="1"/>
  <c r="F719" i="1"/>
  <c r="F718" i="1"/>
  <c r="F717" i="1"/>
  <c r="F716" i="1"/>
  <c r="F627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42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396" i="1"/>
  <c r="F395" i="1"/>
  <c r="F394" i="1"/>
  <c r="F392" i="1"/>
  <c r="F391" i="1"/>
  <c r="F390" i="1"/>
  <c r="F388" i="1"/>
  <c r="F387" i="1"/>
  <c r="F386" i="1"/>
  <c r="F385" i="1"/>
  <c r="F384" i="1"/>
  <c r="F381" i="1"/>
  <c r="F368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31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209" i="1"/>
  <c r="F208" i="1"/>
  <c r="F206" i="1"/>
  <c r="F203" i="1"/>
  <c r="F200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K21" i="1"/>
  <c r="K22" i="1"/>
  <c r="M22" i="1"/>
  <c r="M21" i="1"/>
  <c r="R18" i="1"/>
  <c r="K18" i="1"/>
  <c r="M18" i="1"/>
  <c r="K19" i="1"/>
  <c r="M19" i="1"/>
  <c r="K20" i="1"/>
  <c r="M20" i="1"/>
  <c r="F332" i="1"/>
  <c r="F334" i="1"/>
  <c r="F147" i="1"/>
  <c r="F149" i="1"/>
  <c r="F151" i="1"/>
  <c r="F369" i="1"/>
  <c r="F371" i="1"/>
  <c r="F373" i="1"/>
  <c r="F112" i="1"/>
  <c r="F447" i="1"/>
  <c r="F776" i="1"/>
  <c r="F778" i="1"/>
  <c r="F780" i="1"/>
  <c r="P8" i="1"/>
  <c r="R8" i="1"/>
  <c r="K8" i="1"/>
  <c r="F813" i="1"/>
  <c r="F815" i="1"/>
  <c r="F817" i="1"/>
  <c r="F591" i="1"/>
  <c r="F593" i="1"/>
  <c r="F595" i="1"/>
  <c r="F558" i="1"/>
  <c r="F336" i="1"/>
  <c r="F408" i="1"/>
  <c r="F114" i="1"/>
  <c r="F741" i="1"/>
  <c r="F77" i="1"/>
  <c r="H2" i="1"/>
  <c r="K31" i="1"/>
  <c r="K38" i="1"/>
  <c r="K40" i="1"/>
  <c r="K41" i="1"/>
  <c r="K42" i="1"/>
  <c r="K43" i="1"/>
  <c r="K44" i="1"/>
  <c r="K46" i="1"/>
  <c r="K47" i="1"/>
  <c r="K48" i="1"/>
  <c r="K49" i="1"/>
  <c r="F410" i="1"/>
  <c r="K50" i="1"/>
  <c r="K51" i="1"/>
  <c r="K52" i="1"/>
  <c r="F519" i="1"/>
  <c r="F521" i="1"/>
  <c r="K53" i="1"/>
  <c r="K54" i="1"/>
  <c r="K55" i="1"/>
  <c r="F628" i="1"/>
  <c r="F630" i="1"/>
  <c r="F632" i="1"/>
  <c r="K56" i="1"/>
  <c r="K57" i="1"/>
  <c r="F704" i="1"/>
  <c r="F706" i="1"/>
  <c r="K58" i="1"/>
  <c r="F743" i="1"/>
  <c r="K59" i="1"/>
  <c r="K60" i="1"/>
  <c r="K61" i="1"/>
  <c r="K62" i="1"/>
  <c r="K65" i="1"/>
  <c r="C264" i="1"/>
  <c r="P12" i="1"/>
  <c r="R12" i="1"/>
  <c r="P13" i="1"/>
  <c r="R13" i="1"/>
  <c r="P14" i="1"/>
  <c r="R14" i="1"/>
  <c r="P17" i="1"/>
  <c r="R17" i="1"/>
  <c r="K17" i="1"/>
  <c r="M17" i="1"/>
  <c r="M15" i="1"/>
  <c r="K14" i="1"/>
  <c r="M14" i="1"/>
  <c r="K13" i="1"/>
  <c r="M13" i="1"/>
  <c r="K12" i="1"/>
  <c r="M12" i="1"/>
  <c r="P11" i="1"/>
  <c r="R11" i="1"/>
  <c r="K11" i="1"/>
  <c r="M11" i="1"/>
  <c r="C301" i="1"/>
  <c r="Q5" i="1"/>
  <c r="C190" i="1"/>
  <c r="P10" i="1"/>
  <c r="R10" i="1"/>
  <c r="K10" i="1"/>
  <c r="M10" i="1"/>
  <c r="P9" i="1"/>
  <c r="R9" i="1"/>
  <c r="K9" i="1"/>
  <c r="M9" i="1"/>
  <c r="M8" i="1"/>
  <c r="P7" i="1"/>
  <c r="R7" i="1"/>
  <c r="K7" i="1"/>
  <c r="M7" i="1"/>
  <c r="P6" i="1"/>
  <c r="R6" i="1"/>
  <c r="K6" i="1"/>
  <c r="M6" i="1"/>
  <c r="R5" i="1"/>
  <c r="K5" i="1"/>
  <c r="M5" i="1"/>
  <c r="I40" i="1"/>
  <c r="C597" i="1"/>
  <c r="C893" i="1"/>
  <c r="C856" i="1"/>
  <c r="C79" i="1"/>
  <c r="C819" i="1"/>
  <c r="C782" i="1"/>
  <c r="C745" i="1"/>
  <c r="C338" i="1"/>
  <c r="C708" i="1"/>
  <c r="C671" i="1"/>
  <c r="C634" i="1"/>
  <c r="C560" i="1"/>
  <c r="C523" i="1"/>
  <c r="C486" i="1"/>
  <c r="C449" i="1"/>
  <c r="C412" i="1"/>
  <c r="C375" i="1"/>
  <c r="C227" i="1"/>
  <c r="C153" i="1"/>
  <c r="C116" i="1"/>
  <c r="C42" i="1"/>
  <c r="C4" i="1"/>
</calcChain>
</file>

<file path=xl/sharedStrings.xml><?xml version="1.0" encoding="utf-8"?>
<sst xmlns="http://schemas.openxmlformats.org/spreadsheetml/2006/main" count="1015" uniqueCount="136">
  <si>
    <t>Tuan</t>
  </si>
  <si>
    <t>Alamat</t>
  </si>
  <si>
    <t>Tanggal</t>
  </si>
  <si>
    <t>Banyak</t>
  </si>
  <si>
    <t>Barang</t>
  </si>
  <si>
    <t>S/R</t>
  </si>
  <si>
    <t>Jumlah</t>
  </si>
  <si>
    <t>Harga</t>
  </si>
  <si>
    <t>Krg kemarin</t>
  </si>
  <si>
    <t>Total</t>
  </si>
  <si>
    <t>Bayar</t>
  </si>
  <si>
    <t>Sisa</t>
  </si>
  <si>
    <t xml:space="preserve">TOTAL  </t>
  </si>
  <si>
    <t>Stok</t>
  </si>
  <si>
    <t>Lama</t>
  </si>
  <si>
    <t>Baru</t>
  </si>
  <si>
    <t>Cs</t>
  </si>
  <si>
    <t>Mie</t>
  </si>
  <si>
    <t>Uang</t>
  </si>
  <si>
    <t>Retur</t>
  </si>
  <si>
    <t xml:space="preserve">keluar </t>
  </si>
  <si>
    <t>s/r</t>
  </si>
  <si>
    <t>Jml</t>
  </si>
  <si>
    <t>Brg</t>
  </si>
  <si>
    <t>Titip / Tf</t>
  </si>
  <si>
    <t>Pengeluaran+op</t>
  </si>
  <si>
    <t>Cek brg keluar</t>
  </si>
  <si>
    <t>Lapak</t>
  </si>
  <si>
    <t>Sisa Tagihan</t>
  </si>
  <si>
    <t>N3</t>
  </si>
  <si>
    <t>N4</t>
  </si>
  <si>
    <t>N6</t>
  </si>
  <si>
    <t>N7</t>
  </si>
  <si>
    <t>N8</t>
  </si>
  <si>
    <t>N9</t>
  </si>
  <si>
    <t>N10</t>
  </si>
  <si>
    <t>N11</t>
  </si>
  <si>
    <t>N13</t>
  </si>
  <si>
    <t>N14</t>
  </si>
  <si>
    <t>N15</t>
  </si>
  <si>
    <t>N16</t>
  </si>
  <si>
    <t>N17</t>
  </si>
  <si>
    <t>N19</t>
  </si>
  <si>
    <t>N20</t>
  </si>
  <si>
    <t>N22</t>
  </si>
  <si>
    <t>N23</t>
  </si>
  <si>
    <t>N24</t>
  </si>
  <si>
    <t>N25</t>
  </si>
  <si>
    <t>No Tag</t>
  </si>
  <si>
    <t>Isi</t>
  </si>
  <si>
    <t>Wonodadi</t>
  </si>
  <si>
    <t>Mb Rini</t>
  </si>
  <si>
    <t>Banjar</t>
  </si>
  <si>
    <t>Pak Eko</t>
  </si>
  <si>
    <t>Mba Upik</t>
  </si>
  <si>
    <t>Pak Kotim</t>
  </si>
  <si>
    <t>Pak Slamet</t>
  </si>
  <si>
    <t>Bu Umi</t>
  </si>
  <si>
    <t>Tagihan</t>
  </si>
  <si>
    <t xml:space="preserve">Banjarnegara </t>
  </si>
  <si>
    <t>Bayar/tf</t>
  </si>
  <si>
    <t>banjar</t>
  </si>
  <si>
    <t>pasar</t>
  </si>
  <si>
    <t>mz salam</t>
  </si>
  <si>
    <t>pk rohman</t>
  </si>
  <si>
    <t>Mz ozi</t>
  </si>
  <si>
    <t>Sisa Bakso</t>
  </si>
  <si>
    <t>Yg ada</t>
  </si>
  <si>
    <t>Mba Sur</t>
  </si>
  <si>
    <t xml:space="preserve">Bayar </t>
  </si>
  <si>
    <t>apri</t>
  </si>
  <si>
    <t>Pangsit</t>
  </si>
  <si>
    <t>Oren</t>
  </si>
  <si>
    <t>hemato</t>
  </si>
  <si>
    <t>glatin</t>
  </si>
  <si>
    <t>rendy</t>
  </si>
  <si>
    <t>salam ori</t>
  </si>
  <si>
    <t>salam stik</t>
  </si>
  <si>
    <t>bc</t>
  </si>
  <si>
    <t>cicik</t>
  </si>
  <si>
    <t>cm</t>
  </si>
  <si>
    <t xml:space="preserve">mihrom </t>
  </si>
  <si>
    <t>mba rumi</t>
  </si>
  <si>
    <t>mba Siti cantik</t>
  </si>
  <si>
    <t>suri</t>
  </si>
  <si>
    <t xml:space="preserve">cireng asoy </t>
  </si>
  <si>
    <t xml:space="preserve">BANJARNEGARA </t>
  </si>
  <si>
    <t>Mba ipung</t>
  </si>
  <si>
    <t>Bu parli</t>
  </si>
  <si>
    <t>mba sugi</t>
  </si>
  <si>
    <t>s</t>
  </si>
  <si>
    <t>w</t>
  </si>
  <si>
    <t>)</t>
  </si>
  <si>
    <t xml:space="preserve">septi </t>
  </si>
  <si>
    <t>Sumber sari frozen</t>
  </si>
  <si>
    <t>n5</t>
  </si>
  <si>
    <t>nstok</t>
  </si>
  <si>
    <t>jumlah</t>
  </si>
  <si>
    <t>sejati</t>
  </si>
  <si>
    <t>soeco</t>
  </si>
  <si>
    <t>Bu sanah</t>
  </si>
  <si>
    <t>Samsul cambah</t>
  </si>
  <si>
    <t>pk sutikno</t>
  </si>
  <si>
    <t>somer</t>
  </si>
  <si>
    <t>tenis</t>
  </si>
  <si>
    <t>kw</t>
  </si>
  <si>
    <t>sohem</t>
  </si>
  <si>
    <t xml:space="preserve">brownis </t>
  </si>
  <si>
    <t xml:space="preserve">soscikcik </t>
  </si>
  <si>
    <t>N21</t>
  </si>
  <si>
    <t>cj</t>
  </si>
  <si>
    <t>Cj</t>
  </si>
  <si>
    <t>somay</t>
  </si>
  <si>
    <t>yuda</t>
  </si>
  <si>
    <t>salam lov</t>
  </si>
  <si>
    <t>mba meli</t>
  </si>
  <si>
    <t>brownis L</t>
  </si>
  <si>
    <t>fast tab</t>
  </si>
  <si>
    <t xml:space="preserve">fastab </t>
  </si>
  <si>
    <t xml:space="preserve">belfud </t>
  </si>
  <si>
    <t>B jumbo</t>
  </si>
  <si>
    <t>.....</t>
  </si>
  <si>
    <t>brownis tape</t>
  </si>
  <si>
    <t>brownis pan</t>
  </si>
  <si>
    <t>tf</t>
  </si>
  <si>
    <t>B balok</t>
  </si>
  <si>
    <t xml:space="preserve">B balok </t>
  </si>
  <si>
    <t xml:space="preserve">lapis </t>
  </si>
  <si>
    <t>B blok</t>
  </si>
  <si>
    <t>lapis</t>
  </si>
  <si>
    <t>belfud</t>
  </si>
  <si>
    <t xml:space="preserve">b jumbo </t>
  </si>
  <si>
    <t>b blok</t>
  </si>
  <si>
    <t xml:space="preserve">ningnang </t>
  </si>
  <si>
    <t>tio</t>
  </si>
  <si>
    <t>Oktober Rabu 21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</si>
</sst>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"/>
    <numFmt numFmtId="165" formatCode="0.0"/>
  </numFmts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charset val="1"/>
      <scheme val="minor"/>
    </font>
    <font>
      <sz val="6"/>
      <name val="Yu Gothic"/>
      <family val="2"/>
      <charset val="128"/>
    </font>
    <font>
      <sz val="11"/>
      <color rgb="FFFF0000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/>
      <top style="thin">
        <color rgb="FF505050"/>
      </top>
      <bottom style="medium">
        <color rgb="FF505050"/>
      </bottom>
      <diagonal/>
    </border>
    <border>
      <left/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/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thin">
        <color rgb="FF505050"/>
      </right>
      <top style="medium">
        <color rgb="FF505050"/>
      </top>
      <bottom/>
      <diagonal/>
    </border>
    <border>
      <left/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10" xfId="0" applyBorder="1"/>
    <xf numFmtId="164" fontId="0" fillId="0" borderId="6" xfId="0" applyNumberFormat="1" applyBorder="1" applyAlignment="1">
      <alignment horizontal="left"/>
    </xf>
    <xf numFmtId="0" fontId="0" fillId="0" borderId="5" xfId="0" applyBorder="1"/>
    <xf numFmtId="0" fontId="0" fillId="0" borderId="0" xfId="0" applyFill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5" xfId="0" applyBorder="1"/>
    <xf numFmtId="0" fontId="0" fillId="0" borderId="0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164" fontId="0" fillId="0" borderId="4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7" xfId="0" applyBorder="1"/>
    <xf numFmtId="0" fontId="0" fillId="0" borderId="38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0" fillId="0" borderId="29" xfId="0" applyBorder="1"/>
    <xf numFmtId="0" fontId="0" fillId="0" borderId="35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4" fontId="1" fillId="4" borderId="14" xfId="0" applyNumberFormat="1" applyFont="1" applyFill="1" applyBorder="1" applyAlignment="1">
      <alignment horizontal="left"/>
    </xf>
    <xf numFmtId="164" fontId="0" fillId="4" borderId="6" xfId="0" applyNumberFormat="1" applyFill="1" applyBorder="1" applyAlignment="1">
      <alignment horizontal="left"/>
    </xf>
    <xf numFmtId="164" fontId="2" fillId="4" borderId="15" xfId="0" applyNumberFormat="1" applyFont="1" applyFill="1" applyBorder="1" applyAlignment="1">
      <alignment horizontal="left"/>
    </xf>
    <xf numFmtId="164" fontId="0" fillId="0" borderId="41" xfId="0" applyNumberFormat="1" applyBorder="1" applyAlignment="1">
      <alignment horizontal="left"/>
    </xf>
    <xf numFmtId="164" fontId="1" fillId="4" borderId="42" xfId="0" applyNumberFormat="1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0" xfId="0" applyBorder="1" applyAlignment="1"/>
    <xf numFmtId="0" fontId="0" fillId="0" borderId="0" xfId="0" applyBorder="1"/>
    <xf numFmtId="0" fontId="0" fillId="0" borderId="11" xfId="0" applyBorder="1"/>
    <xf numFmtId="0" fontId="0" fillId="0" borderId="46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0" borderId="35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36" xfId="0" applyFill="1" applyBorder="1" applyAlignment="1">
      <alignment horizontal="center" vertical="center"/>
    </xf>
    <xf numFmtId="0" fontId="0" fillId="0" borderId="1" xfId="0" applyFont="1" applyBorder="1"/>
    <xf numFmtId="0" fontId="0" fillId="0" borderId="26" xfId="0" applyBorder="1"/>
    <xf numFmtId="0" fontId="0" fillId="0" borderId="0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36" xfId="0" applyBorder="1"/>
    <xf numFmtId="0" fontId="0" fillId="0" borderId="48" xfId="0" applyBorder="1"/>
    <xf numFmtId="0" fontId="0" fillId="4" borderId="24" xfId="0" applyFill="1" applyBorder="1" applyAlignment="1">
      <alignment horizontal="center"/>
    </xf>
    <xf numFmtId="0" fontId="0" fillId="0" borderId="49" xfId="0" applyBorder="1"/>
    <xf numFmtId="0" fontId="0" fillId="0" borderId="24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50" xfId="0" applyBorder="1"/>
    <xf numFmtId="0" fontId="0" fillId="0" borderId="51" xfId="0" applyBorder="1" applyAlignment="1">
      <alignment horizontal="center"/>
    </xf>
    <xf numFmtId="0" fontId="0" fillId="0" borderId="52" xfId="0" applyBorder="1"/>
    <xf numFmtId="0" fontId="0" fillId="4" borderId="24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/>
    </xf>
    <xf numFmtId="164" fontId="1" fillId="4" borderId="15" xfId="0" applyNumberFormat="1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64" fontId="4" fillId="4" borderId="43" xfId="0" applyNumberFormat="1" applyFont="1" applyFill="1" applyBorder="1" applyAlignment="1">
      <alignment horizontal="center"/>
    </xf>
    <xf numFmtId="164" fontId="4" fillId="4" borderId="17" xfId="0" applyNumberFormat="1" applyFont="1" applyFill="1" applyBorder="1" applyAlignment="1">
      <alignment horizontal="center"/>
    </xf>
    <xf numFmtId="164" fontId="4" fillId="4" borderId="44" xfId="0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4" borderId="26" xfId="0" applyNumberFormat="1" applyFill="1" applyBorder="1" applyAlignment="1">
      <alignment horizontal="center"/>
    </xf>
    <xf numFmtId="164" fontId="0" fillId="4" borderId="23" xfId="0" applyNumberFormat="1" applyFill="1" applyBorder="1" applyAlignment="1">
      <alignment horizontal="center"/>
    </xf>
    <xf numFmtId="164" fontId="0" fillId="4" borderId="28" xfId="0" applyNumberFormat="1" applyFill="1" applyBorder="1" applyAlignment="1">
      <alignment horizontal="center"/>
    </xf>
    <xf numFmtId="164" fontId="0" fillId="4" borderId="39" xfId="0" applyNumberFormat="1" applyFill="1" applyBorder="1" applyAlignment="1">
      <alignment horizontal="center"/>
    </xf>
    <xf numFmtId="164" fontId="0" fillId="4" borderId="20" xfId="0" applyNumberFormat="1" applyFill="1" applyBorder="1" applyAlignment="1">
      <alignment horizontal="center"/>
    </xf>
    <xf numFmtId="164" fontId="0" fillId="4" borderId="40" xfId="0" applyNumberFormat="1" applyFill="1" applyBorder="1" applyAlignment="1">
      <alignment horizontal="center"/>
    </xf>
    <xf numFmtId="164" fontId="1" fillId="4" borderId="45" xfId="0" applyNumberFormat="1" applyFont="1" applyFill="1" applyBorder="1" applyAlignment="1">
      <alignment horizontal="center"/>
    </xf>
    <xf numFmtId="164" fontId="1" fillId="4" borderId="30" xfId="0" applyNumberFormat="1" applyFont="1" applyFill="1" applyBorder="1" applyAlignment="1">
      <alignment horizontal="center"/>
    </xf>
    <xf numFmtId="164" fontId="1" fillId="4" borderId="31" xfId="0" applyNumberFormat="1" applyFont="1" applyFill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164" fontId="0" fillId="4" borderId="26" xfId="0" applyNumberFormat="1" applyFill="1" applyBorder="1" applyAlignment="1">
      <alignment horizontal="center" vertical="center"/>
    </xf>
    <xf numFmtId="164" fontId="0" fillId="4" borderId="23" xfId="0" applyNumberFormat="1" applyFill="1" applyBorder="1" applyAlignment="1">
      <alignment horizontal="center" vertical="center"/>
    </xf>
    <xf numFmtId="164" fontId="0" fillId="4" borderId="28" xfId="0" applyNumberFormat="1" applyFill="1" applyBorder="1" applyAlignment="1">
      <alignment horizontal="center" vertical="center"/>
    </xf>
    <xf numFmtId="164" fontId="0" fillId="4" borderId="26" xfId="0" applyNumberFormat="1" applyFont="1" applyFill="1" applyBorder="1" applyAlignment="1">
      <alignment horizontal="center"/>
    </xf>
    <xf numFmtId="164" fontId="0" fillId="4" borderId="23" xfId="0" applyNumberFormat="1" applyFont="1" applyFill="1" applyBorder="1" applyAlignment="1">
      <alignment horizontal="center"/>
    </xf>
    <xf numFmtId="164" fontId="0" fillId="4" borderId="28" xfId="0" applyNumberFormat="1" applyFont="1" applyFill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4" borderId="43" xfId="0" applyNumberFormat="1" applyFill="1" applyBorder="1" applyAlignment="1">
      <alignment horizontal="center"/>
    </xf>
    <xf numFmtId="164" fontId="0" fillId="4" borderId="17" xfId="0" applyNumberFormat="1" applyFill="1" applyBorder="1" applyAlignment="1">
      <alignment horizontal="center"/>
    </xf>
    <xf numFmtId="164" fontId="0" fillId="4" borderId="44" xfId="0" applyNumberFormat="1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4" fontId="1" fillId="0" borderId="30" xfId="0" applyNumberFormat="1" applyFont="1" applyFill="1" applyBorder="1" applyAlignment="1">
      <alignment horizontal="center"/>
    </xf>
    <xf numFmtId="0" fontId="1" fillId="0" borderId="31" xfId="0" applyFont="1" applyFill="1" applyBorder="1" applyAlignment="1">
      <alignment horizontal="center"/>
    </xf>
    <xf numFmtId="15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5" fontId="1" fillId="4" borderId="29" xfId="0" applyNumberFormat="1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15" fontId="1" fillId="4" borderId="0" xfId="0" applyNumberFormat="1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15" fontId="1" fillId="4" borderId="12" xfId="0" applyNumberFormat="1" applyFont="1" applyFill="1" applyBorder="1" applyAlignment="1">
      <alignment horizontal="center"/>
    </xf>
    <xf numFmtId="164" fontId="0" fillId="5" borderId="26" xfId="0" applyNumberFormat="1" applyFill="1" applyBorder="1" applyAlignment="1">
      <alignment horizontal="center"/>
    </xf>
    <xf numFmtId="164" fontId="0" fillId="5" borderId="23" xfId="0" applyNumberFormat="1" applyFill="1" applyBorder="1" applyAlignment="1">
      <alignment horizontal="center"/>
    </xf>
    <xf numFmtId="164" fontId="0" fillId="5" borderId="28" xfId="0" applyNumberForma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0C29-0848-F341-8E09-893BDCA8CC2B}">
  <dimension ref="A1:AZ928"/>
  <sheetViews>
    <sheetView tabSelected="1" topLeftCell="I3" zoomScaleNormal="60" zoomScaleSheetLayoutView="100" workbookViewId="0">
      <selection activeCell="F150" sqref="F150"/>
    </sheetView>
  </sheetViews>
  <sheetFormatPr defaultRowHeight="15" x14ac:dyDescent="0.2"/>
  <cols>
    <col min="1" max="1" width="8.875" bestFit="1" customWidth="1"/>
    <col min="2" max="2" width="9.28125" bestFit="1" customWidth="1"/>
    <col min="3" max="3" width="11.02734375" bestFit="1" customWidth="1"/>
    <col min="4" max="4" width="4.83984375" bestFit="1" customWidth="1"/>
    <col min="5" max="5" width="8.7421875" bestFit="1" customWidth="1"/>
    <col min="6" max="6" width="14.66015625" bestFit="1" customWidth="1"/>
    <col min="7" max="7" width="2.15234375" bestFit="1" customWidth="1"/>
    <col min="8" max="8" width="11.296875" bestFit="1" customWidth="1"/>
    <col min="9" max="9" width="8.203125" bestFit="1" customWidth="1"/>
    <col min="10" max="10" width="7.12890625" bestFit="1" customWidth="1"/>
    <col min="11" max="11" width="6.1875" bestFit="1" customWidth="1"/>
    <col min="12" max="12" width="5.37890625" bestFit="1" customWidth="1"/>
    <col min="13" max="13" width="7.26171875" bestFit="1" customWidth="1"/>
    <col min="14" max="14" width="9.4140625" customWidth="1"/>
    <col min="15" max="15" width="10.4921875" bestFit="1" customWidth="1"/>
    <col min="16" max="16" width="5.6484375" bestFit="1" customWidth="1"/>
    <col min="17" max="17" width="8.203125" bestFit="1" customWidth="1"/>
    <col min="18" max="18" width="5.109375" bestFit="1" customWidth="1"/>
    <col min="19" max="19" width="5.37890625" bestFit="1" customWidth="1"/>
    <col min="20" max="20" width="4.16796875" bestFit="1" customWidth="1"/>
    <col min="21" max="21" width="4.83984375" bestFit="1" customWidth="1"/>
    <col min="22" max="22" width="4.16796875" bestFit="1" customWidth="1"/>
  </cols>
  <sheetData>
    <row r="1" spans="1:20" ht="15.75" thickBot="1" x14ac:dyDescent="0.25"/>
    <row r="2" spans="1:20" ht="15.75" thickBot="1" x14ac:dyDescent="0.25">
      <c r="B2" s="143" t="s">
        <v>86</v>
      </c>
      <c r="C2" s="144"/>
      <c r="D2" s="144"/>
      <c r="E2" s="136" t="s">
        <v>135</v>
      </c>
      <c r="F2" s="137"/>
      <c r="H2" s="147" t="str">
        <f>E2</f>
        <v>Oktober Rabu 21 2026</v>
      </c>
      <c r="I2" s="148"/>
      <c r="J2" s="148"/>
      <c r="K2" s="148"/>
      <c r="L2" s="148"/>
      <c r="M2" s="149"/>
      <c r="N2" s="15"/>
    </row>
    <row r="3" spans="1:20" ht="15.75" thickBot="1" x14ac:dyDescent="0.25">
      <c r="H3" t="s">
        <v>96</v>
      </c>
      <c r="N3" s="36" t="s">
        <v>66</v>
      </c>
      <c r="O3" t="s">
        <v>26</v>
      </c>
    </row>
    <row r="4" spans="1:20" ht="15.75" thickBot="1" x14ac:dyDescent="0.25">
      <c r="A4" s="31">
        <v>1</v>
      </c>
      <c r="B4" s="6" t="s">
        <v>2</v>
      </c>
      <c r="C4" s="138" t="str">
        <f>E2</f>
        <v>Oktober Rabu 21 2026</v>
      </c>
      <c r="D4" s="139"/>
      <c r="E4" s="139"/>
      <c r="F4" s="140"/>
      <c r="H4" s="13" t="s">
        <v>13</v>
      </c>
      <c r="I4" s="22" t="s">
        <v>15</v>
      </c>
      <c r="J4" s="22" t="s">
        <v>14</v>
      </c>
      <c r="K4" s="22" t="s">
        <v>20</v>
      </c>
      <c r="L4" s="22" t="s">
        <v>19</v>
      </c>
      <c r="M4" s="23" t="s">
        <v>11</v>
      </c>
      <c r="N4" s="37" t="s">
        <v>67</v>
      </c>
      <c r="O4" s="73" t="s">
        <v>23</v>
      </c>
      <c r="P4" s="26" t="s">
        <v>49</v>
      </c>
      <c r="Q4" s="11" t="s">
        <v>21</v>
      </c>
      <c r="R4" s="11" t="s">
        <v>22</v>
      </c>
      <c r="S4" s="18"/>
      <c r="T4" s="18"/>
    </row>
    <row r="5" spans="1:20" x14ac:dyDescent="0.2">
      <c r="B5" s="7" t="s">
        <v>0</v>
      </c>
      <c r="C5" s="141" t="s">
        <v>63</v>
      </c>
      <c r="D5" s="141"/>
      <c r="E5" s="141"/>
      <c r="F5" s="142"/>
      <c r="H5" s="3" t="s">
        <v>80</v>
      </c>
      <c r="I5" s="62">
        <v>1250</v>
      </c>
      <c r="J5" s="21">
        <v>150</v>
      </c>
      <c r="K5" s="38">
        <f>R5</f>
        <v>1264</v>
      </c>
      <c r="L5" s="21">
        <v>6</v>
      </c>
      <c r="M5" s="41">
        <f>(I5+J5) -(K5+L5)</f>
        <v>130</v>
      </c>
      <c r="N5" s="70">
        <v>130</v>
      </c>
      <c r="O5" s="1" t="s">
        <v>80</v>
      </c>
      <c r="P5" s="75">
        <f>B9+B47+B84+B121+B158+B195+B232+B269+B306+B343+B380+B417+B454+B491+B528+B565+B602+B639+B676+B713+B750+B787+B824+B861+B898</f>
        <v>1270</v>
      </c>
      <c r="Q5" s="44">
        <f>D9+D47+D84+D121+D158+D195+D232+D269+D306+D343+D935+D380+D417+D454+D491+D528+D565+D602+D639+D676+D713+D750+D787+D824+D861+D898</f>
        <v>6</v>
      </c>
      <c r="R5" s="44">
        <f>P5-Q5</f>
        <v>1264</v>
      </c>
      <c r="S5" s="18"/>
      <c r="T5" s="18"/>
    </row>
    <row r="6" spans="1:20" x14ac:dyDescent="0.2">
      <c r="B6" s="7" t="s">
        <v>1</v>
      </c>
      <c r="C6" s="124" t="s">
        <v>50</v>
      </c>
      <c r="D6" s="124"/>
      <c r="E6" s="124"/>
      <c r="F6" s="125"/>
      <c r="H6" s="9" t="s">
        <v>16</v>
      </c>
      <c r="I6" s="81">
        <v>75</v>
      </c>
      <c r="J6" s="81">
        <v>30</v>
      </c>
      <c r="K6" s="39">
        <f>R6</f>
        <v>104</v>
      </c>
      <c r="L6" s="55">
        <v>1</v>
      </c>
      <c r="M6" s="42">
        <f>(I6+J6) -(K6+L6)</f>
        <v>0</v>
      </c>
      <c r="N6" s="50">
        <v>0</v>
      </c>
      <c r="O6" s="1" t="s">
        <v>16</v>
      </c>
      <c r="P6" s="75">
        <f>B10+B48+B85+B122+B159+B196+B233+B270+B307+B344+B381+B418+B455+B492+B529+B566+B603+B640+B677+B714+B751+B788+B825+B862+B899</f>
        <v>105</v>
      </c>
      <c r="Q6" s="51">
        <f>D10+D48+D85+D122+D159+D196+D233+D270+D307+D344+D936+D381+D418+D455+D492+D529+D566+D603+D640+D677+D714+D751+D788+D825+D862+D899</f>
        <v>1</v>
      </c>
      <c r="R6" s="44">
        <f>P6-Q6</f>
        <v>104</v>
      </c>
      <c r="S6" s="18"/>
      <c r="T6" s="18"/>
    </row>
    <row r="7" spans="1:20" ht="15.75" thickBot="1" x14ac:dyDescent="0.25">
      <c r="B7" s="7"/>
      <c r="C7" s="126"/>
      <c r="D7" s="126"/>
      <c r="E7" s="126"/>
      <c r="F7" s="127"/>
      <c r="H7" s="9" t="s">
        <v>78</v>
      </c>
      <c r="I7" s="82">
        <v>725</v>
      </c>
      <c r="J7" s="55">
        <v>35</v>
      </c>
      <c r="K7" s="39">
        <f>R7</f>
        <v>753</v>
      </c>
      <c r="L7" s="55">
        <v>2</v>
      </c>
      <c r="M7" s="42">
        <f>(I7+J7) -(K7+L7)</f>
        <v>5</v>
      </c>
      <c r="N7" s="50">
        <v>5</v>
      </c>
      <c r="O7" s="1" t="s">
        <v>78</v>
      </c>
      <c r="P7" s="75">
        <f>B11+B49+B86+B123+B160+B197+B234+B271+B308+B345+B382+B419+B456+B493+B530+B567+B604+B641+B678+B715+B752+B789+B826+B863+B900</f>
        <v>755</v>
      </c>
      <c r="Q7" s="51">
        <f>D11+D49+D86+D123+D160+D197+D234+D271+D308+D345+D937+D382+D419+D456+D493+D530+D567+D604+D641+D678+D715+D752+D789+D826+D863+D900</f>
        <v>2</v>
      </c>
      <c r="R7" s="44">
        <f>P7-Q7</f>
        <v>753</v>
      </c>
      <c r="S7" s="18"/>
      <c r="T7" s="18"/>
    </row>
    <row r="8" spans="1:20" x14ac:dyDescent="0.2">
      <c r="B8" s="3" t="s">
        <v>3</v>
      </c>
      <c r="C8" s="22" t="s">
        <v>4</v>
      </c>
      <c r="D8" s="4" t="s">
        <v>5</v>
      </c>
      <c r="E8" s="4"/>
      <c r="F8" s="5" t="s">
        <v>6</v>
      </c>
      <c r="H8" s="9" t="s">
        <v>79</v>
      </c>
      <c r="I8" s="81">
        <v>72</v>
      </c>
      <c r="J8" s="58">
        <v>0</v>
      </c>
      <c r="K8" s="39">
        <f>R8</f>
        <v>72</v>
      </c>
      <c r="L8" s="55">
        <v>0</v>
      </c>
      <c r="M8" s="42">
        <f>(I8+J8) -(K8+L8)</f>
        <v>0</v>
      </c>
      <c r="N8" s="50">
        <v>0</v>
      </c>
      <c r="O8" s="1" t="s">
        <v>79</v>
      </c>
      <c r="P8" s="75">
        <f>B12+B50+B87+B124+B161+B198+B235+B272+B309+B346+B383+B420+B457+B494+B531+B568+B605+B642+B679+B716+B753+B790+B827+B864+B901</f>
        <v>72</v>
      </c>
      <c r="Q8" s="51">
        <f>D12+D50+D87+D124+D161+D198+D235+D272+D309+D346+D938+D383+D420+D457+D494+D531+D568+D605+D642+D679+D716+D753+D790+D827+D864+D901</f>
        <v>0</v>
      </c>
      <c r="R8" s="44">
        <f>P8-Q8</f>
        <v>72</v>
      </c>
      <c r="S8" s="18"/>
      <c r="T8" s="18"/>
    </row>
    <row r="9" spans="1:20" x14ac:dyDescent="0.2">
      <c r="B9" s="79"/>
      <c r="C9" s="1" t="s">
        <v>80</v>
      </c>
      <c r="D9" s="77"/>
      <c r="E9" s="2"/>
      <c r="F9" s="8">
        <f>(B9-D9) *E9</f>
        <v>0</v>
      </c>
      <c r="H9" s="9" t="s">
        <v>17</v>
      </c>
      <c r="I9" s="81">
        <v>20</v>
      </c>
      <c r="J9" s="58">
        <v>0</v>
      </c>
      <c r="K9" s="39">
        <f>R9</f>
        <v>20</v>
      </c>
      <c r="L9" s="55">
        <v>0</v>
      </c>
      <c r="M9" s="42">
        <f>(I9+J9) -(K9+L9)</f>
        <v>0</v>
      </c>
      <c r="N9" s="50">
        <v>0</v>
      </c>
      <c r="O9" s="1" t="s">
        <v>17</v>
      </c>
      <c r="P9" s="75">
        <f>B13+B51+B88+B125+B162+B199+B236+B273+B310+B347+B384+B421+B458+B495+B532+B569+B606+B643+B680+B717+B754+B791+B828+B865+B902</f>
        <v>20</v>
      </c>
      <c r="Q9" s="51">
        <f>D13+D51+D88+D125+D162+D199+D236+D273+D310+D347+D939+D384+D421+D458+D495+D532+D569+D606+D643+D680+D717+D754+D791+D828+D865+D902</f>
        <v>0</v>
      </c>
      <c r="R9" s="44">
        <f>P9-Q9</f>
        <v>20</v>
      </c>
      <c r="S9" s="18"/>
      <c r="T9" s="18"/>
    </row>
    <row r="10" spans="1:20" x14ac:dyDescent="0.2">
      <c r="B10" s="79"/>
      <c r="C10" s="1" t="s">
        <v>16</v>
      </c>
      <c r="D10" s="77"/>
      <c r="E10" s="2"/>
      <c r="F10" s="8">
        <f>(B10-D10) *E10</f>
        <v>0</v>
      </c>
      <c r="H10" s="9" t="s">
        <v>134</v>
      </c>
      <c r="I10" s="81">
        <v>0</v>
      </c>
      <c r="J10" s="58">
        <v>0</v>
      </c>
      <c r="K10" s="39">
        <f>R10</f>
        <v>0</v>
      </c>
      <c r="L10" s="55">
        <v>0</v>
      </c>
      <c r="M10" s="42">
        <f>(I10+J10) -(K10+L10)</f>
        <v>0</v>
      </c>
      <c r="N10" s="50">
        <v>0</v>
      </c>
      <c r="O10" s="1" t="s">
        <v>105</v>
      </c>
      <c r="P10" s="75">
        <f>B14+B52+B89+B126+B163+B200+B237+B274+B311+B348+B385+B422+B459+B496+B533+B570+B607+B644+B681+B718+B755+B792+B829+B866+B903</f>
        <v>0</v>
      </c>
      <c r="Q10" s="51">
        <f>D14+D52+D89+D126+D163+D200+D237+D274+D311+D348+D940+D385+D422+D459+D496+D533+D570+D607+D644+D681+D718+D755+D792+D829+D866+D903</f>
        <v>0</v>
      </c>
      <c r="R10" s="44">
        <f>P10-Q10</f>
        <v>0</v>
      </c>
      <c r="S10" s="18"/>
      <c r="T10" s="18"/>
    </row>
    <row r="11" spans="1:20" x14ac:dyDescent="0.2">
      <c r="B11" s="79"/>
      <c r="C11" s="1" t="s">
        <v>78</v>
      </c>
      <c r="D11" s="77"/>
      <c r="E11" s="2"/>
      <c r="F11" s="8">
        <f>(B11-D11) *E11</f>
        <v>0</v>
      </c>
      <c r="H11" s="9" t="s">
        <v>106</v>
      </c>
      <c r="I11" s="56">
        <v>0</v>
      </c>
      <c r="J11" s="58">
        <v>0</v>
      </c>
      <c r="K11" s="40">
        <f>R11</f>
        <v>0</v>
      </c>
      <c r="L11" s="55">
        <v>0</v>
      </c>
      <c r="M11" s="43">
        <f>(I11+J11) -(K11+L11)</f>
        <v>0</v>
      </c>
      <c r="N11" s="50">
        <v>0</v>
      </c>
      <c r="O11" s="1" t="s">
        <v>106</v>
      </c>
      <c r="P11" s="75">
        <f>B15+B53+B90+B127+B164+B201+B238+B275+B312+B349+B386+B423+B460+B497+B534+B571+B608+B645+B682+B719+B756+B793+B830+B867+B904</f>
        <v>0</v>
      </c>
      <c r="Q11" s="51">
        <f>D15+D53+D90+D127+D164+D201+D238+D275+D312+D349+D941+D386+D423+D460+D497+D534+D571+D608+D645+D682+D719+D756+D793+D830+D867+D904</f>
        <v>0</v>
      </c>
      <c r="R11" s="44">
        <f>P11-Q11</f>
        <v>0</v>
      </c>
      <c r="S11" s="18"/>
      <c r="T11" s="18"/>
    </row>
    <row r="12" spans="1:20" x14ac:dyDescent="0.2">
      <c r="B12" s="79"/>
      <c r="C12" s="1" t="s">
        <v>79</v>
      </c>
      <c r="D12" s="77"/>
      <c r="E12" s="2"/>
      <c r="F12" s="8">
        <f>(B12-D12) *E12</f>
        <v>0</v>
      </c>
      <c r="H12" s="9" t="s">
        <v>71</v>
      </c>
      <c r="I12" s="56">
        <v>3</v>
      </c>
      <c r="J12" s="58">
        <v>0</v>
      </c>
      <c r="K12" s="40">
        <f t="shared" ref="K12:K30" si="0">R12</f>
        <v>3</v>
      </c>
      <c r="L12" s="55">
        <v>0</v>
      </c>
      <c r="M12" s="43">
        <f t="shared" ref="M12:M30" si="1">(I12+J12) -(K12+L12)</f>
        <v>0</v>
      </c>
      <c r="N12" s="50">
        <v>0</v>
      </c>
      <c r="O12" s="1" t="s">
        <v>71</v>
      </c>
      <c r="P12" s="75">
        <f>B16+B54+B91+B128+B165+B202+B239+B276+B313+B350+B387+B424+B461+B498+B535+B572+B609+B646+B683+B720+B757+B794+B831+B868+B905</f>
        <v>3</v>
      </c>
      <c r="Q12" s="51">
        <f>D16+D54+D91+D128+D165+D202+D239+D276+D313+D350+D942+D387+D424+D461+D498+D535+D572+D609+D646+D683+D720+D757+D794+D831+D868+D905</f>
        <v>0</v>
      </c>
      <c r="R12" s="51">
        <f t="shared" ref="R12:R19" si="2">P12-Q12</f>
        <v>3</v>
      </c>
    </row>
    <row r="13" spans="1:20" x14ac:dyDescent="0.2">
      <c r="B13" s="79"/>
      <c r="C13" s="1" t="s">
        <v>17</v>
      </c>
      <c r="D13" s="77"/>
      <c r="E13" s="2"/>
      <c r="F13" s="8">
        <f>(B13-D13) *E13</f>
        <v>0</v>
      </c>
      <c r="H13" s="9" t="s">
        <v>103</v>
      </c>
      <c r="I13" s="56">
        <v>0</v>
      </c>
      <c r="J13" s="58">
        <v>0</v>
      </c>
      <c r="K13" s="40">
        <f t="shared" si="0"/>
        <v>0</v>
      </c>
      <c r="L13" s="55">
        <v>0</v>
      </c>
      <c r="M13" s="43">
        <f t="shared" si="1"/>
        <v>0</v>
      </c>
      <c r="N13" s="50">
        <v>0</v>
      </c>
      <c r="O13" s="1" t="s">
        <v>103</v>
      </c>
      <c r="P13" s="75">
        <f>B17+B55+B92+B129+B166+B203+B240+B277+B314+B351+B388+B425+B462+B499+B536+B573+B610+B647+B684+B721+B758+B795+B832+B869+B906</f>
        <v>0</v>
      </c>
      <c r="Q13" s="51">
        <f>D17+D55+D92+D129+D166+D203+D240+D277+D314+D351+D943+D388+D425+D462+D499+D536+D573+D610+D647+D684+D721+D758+D795+D832+D869+D906</f>
        <v>0</v>
      </c>
      <c r="R13" s="51">
        <f t="shared" si="2"/>
        <v>0</v>
      </c>
    </row>
    <row r="14" spans="1:20" x14ac:dyDescent="0.2">
      <c r="B14" s="79"/>
      <c r="C14" s="1" t="s">
        <v>105</v>
      </c>
      <c r="D14" s="77"/>
      <c r="E14" s="2"/>
      <c r="F14" s="8">
        <f>(B14-D14) *E14</f>
        <v>0</v>
      </c>
      <c r="H14" s="9" t="s">
        <v>72</v>
      </c>
      <c r="I14" s="56">
        <v>350</v>
      </c>
      <c r="J14" s="58">
        <v>5</v>
      </c>
      <c r="K14" s="40">
        <f t="shared" si="0"/>
        <v>330</v>
      </c>
      <c r="L14" s="55">
        <v>0</v>
      </c>
      <c r="M14" s="43">
        <f t="shared" si="1"/>
        <v>25</v>
      </c>
      <c r="N14" s="50">
        <v>25</v>
      </c>
      <c r="O14" s="1" t="s">
        <v>72</v>
      </c>
      <c r="P14" s="75">
        <f>B18+B56+B93+B130+B167+B204+B241+B278+B315+B352+B389+B426+B463+B500+B537+B574+B611+B648+B685+B722+B759+B796+B833+B870+B907</f>
        <v>330</v>
      </c>
      <c r="Q14" s="51">
        <f>D18+D56+D93+D130+D167+D204+D241+D278+D315+D352+D944+D389+D426+D463+D500+D537+D574+D611+D648+D685+D722+D759+D796+D833+D870+D907</f>
        <v>0</v>
      </c>
      <c r="R14" s="51">
        <f t="shared" si="2"/>
        <v>330</v>
      </c>
    </row>
    <row r="15" spans="1:20" x14ac:dyDescent="0.2">
      <c r="B15" s="79"/>
      <c r="C15" s="1" t="s">
        <v>106</v>
      </c>
      <c r="D15" s="77"/>
      <c r="E15" s="2"/>
      <c r="F15" s="8">
        <f>(B15-D15) *E15</f>
        <v>0</v>
      </c>
      <c r="H15" s="9" t="s">
        <v>98</v>
      </c>
      <c r="I15" s="56">
        <v>125</v>
      </c>
      <c r="J15" s="58">
        <v>0</v>
      </c>
      <c r="K15" s="40">
        <f>R15</f>
        <v>125</v>
      </c>
      <c r="L15" s="55">
        <v>0</v>
      </c>
      <c r="M15" s="43">
        <f t="shared" si="1"/>
        <v>0</v>
      </c>
      <c r="N15" s="50">
        <v>0</v>
      </c>
      <c r="O15" s="1" t="s">
        <v>98</v>
      </c>
      <c r="P15" s="75">
        <f>B19+B57+B94+B131+B168+B205+B242+B279+B316+B353+B390+B427+B464+B501+B538+B575+B612+B649+B686+B723+B760+B797+B834+B871+B908</f>
        <v>125</v>
      </c>
      <c r="Q15" s="51">
        <f>D19+D57+D94+D131+D168+D205+D242+D279+D316+D353+D945+D390+D427+D464+D501+D538+D575+D612+D649+D686+D723+D760+D797+D834+D871+D908</f>
        <v>0</v>
      </c>
      <c r="R15" s="51">
        <f t="shared" si="2"/>
        <v>125</v>
      </c>
    </row>
    <row r="16" spans="1:20" x14ac:dyDescent="0.2">
      <c r="B16" s="79"/>
      <c r="C16" s="1" t="s">
        <v>71</v>
      </c>
      <c r="D16" s="77"/>
      <c r="E16" s="2"/>
      <c r="F16" s="8">
        <f>(B16-D16) *E16</f>
        <v>0</v>
      </c>
      <c r="H16" s="9" t="s">
        <v>77</v>
      </c>
      <c r="I16" s="56">
        <v>0</v>
      </c>
      <c r="J16" s="58">
        <v>0</v>
      </c>
      <c r="K16" s="40">
        <f t="shared" si="0"/>
        <v>0</v>
      </c>
      <c r="L16" s="55">
        <v>0</v>
      </c>
      <c r="M16" s="43">
        <f>(I16+J16) -(K16+L16)</f>
        <v>0</v>
      </c>
      <c r="N16" s="50">
        <v>0</v>
      </c>
      <c r="O16" s="1" t="s">
        <v>77</v>
      </c>
      <c r="P16" s="75">
        <f>B20+B58+B95+B132+B169+B206+B243+B280+B317+B354+B391+B428+B465+B502+B539+B576+B613+B650+B687+B724+B761+B798+B835+B872+B909</f>
        <v>0</v>
      </c>
      <c r="Q16" s="51">
        <f>D20+D58+D95+D132+D169+D206+D243+D280+D317+D354+D946+D391+D428+D465+D502+D539+D576+D613+D650+D687+D724+D761+D798+D835+D872+D909</f>
        <v>0</v>
      </c>
      <c r="R16" s="51">
        <f t="shared" si="2"/>
        <v>0</v>
      </c>
    </row>
    <row r="17" spans="2:19" x14ac:dyDescent="0.2">
      <c r="B17" s="79"/>
      <c r="C17" s="1" t="s">
        <v>103</v>
      </c>
      <c r="D17" s="77"/>
      <c r="E17" s="2"/>
      <c r="F17" s="8">
        <f t="shared" ref="F17:F34" si="3">(B17-D17) *E17</f>
        <v>0</v>
      </c>
      <c r="H17" s="9" t="s">
        <v>84</v>
      </c>
      <c r="I17" s="56">
        <v>2</v>
      </c>
      <c r="J17" s="58">
        <v>0</v>
      </c>
      <c r="K17" s="40">
        <f t="shared" si="0"/>
        <v>2</v>
      </c>
      <c r="L17" s="55">
        <v>0</v>
      </c>
      <c r="M17" s="43">
        <f t="shared" si="1"/>
        <v>0</v>
      </c>
      <c r="N17" s="50">
        <v>0</v>
      </c>
      <c r="O17" s="1" t="s">
        <v>84</v>
      </c>
      <c r="P17" s="75">
        <f>B21+B59+B96+B133+B170+B207+B244+B281+B318+B355+B392+B429+B466+B503+B540+B577+B614+B651+B688+B725+B762+B799+B836+B873+B910</f>
        <v>2</v>
      </c>
      <c r="Q17" s="51">
        <f>D21+D59+D96+D133+D170+D207+D244+D281+D318+D355+D947+D392+D429+D466+D503+D540+D577+D614+D651+D688+D725+D762+D799+D836+D873+D910</f>
        <v>0</v>
      </c>
      <c r="R17" s="51">
        <f t="shared" si="2"/>
        <v>2</v>
      </c>
    </row>
    <row r="18" spans="2:19" x14ac:dyDescent="0.2">
      <c r="B18" s="79"/>
      <c r="C18" s="1" t="s">
        <v>72</v>
      </c>
      <c r="D18" s="77"/>
      <c r="E18" s="2"/>
      <c r="F18" s="8">
        <f t="shared" si="3"/>
        <v>0</v>
      </c>
      <c r="H18" s="64" t="s">
        <v>73</v>
      </c>
      <c r="I18" s="56">
        <v>40</v>
      </c>
      <c r="J18" s="58">
        <v>0</v>
      </c>
      <c r="K18" s="40">
        <f t="shared" si="0"/>
        <v>40</v>
      </c>
      <c r="L18" s="55">
        <v>0</v>
      </c>
      <c r="M18" s="43">
        <f t="shared" si="1"/>
        <v>0</v>
      </c>
      <c r="N18" s="50">
        <v>0</v>
      </c>
      <c r="O18" s="1" t="s">
        <v>73</v>
      </c>
      <c r="P18" s="75">
        <f>B22+B60+B97+B134+B171+B208+B245+B282+B319+B356+B393+B430+B467+B504+B541+B578+B615+B652+B689+B726+B763+B800+B837+B874+B911</f>
        <v>40</v>
      </c>
      <c r="Q18" s="51">
        <f>D22+D60+D97+D134+D171+D208+D245+D282+D319+D356+D948+D393+D430+D467+D504+D541+D578+D615+D652+D689+D726+D763+D800+D837+D874+D911</f>
        <v>0</v>
      </c>
      <c r="R18" s="67">
        <f t="shared" si="2"/>
        <v>40</v>
      </c>
    </row>
    <row r="19" spans="2:19" x14ac:dyDescent="0.2">
      <c r="B19" s="79"/>
      <c r="C19" s="1" t="s">
        <v>98</v>
      </c>
      <c r="D19" s="77"/>
      <c r="E19" s="2"/>
      <c r="F19" s="8">
        <f t="shared" si="3"/>
        <v>0</v>
      </c>
      <c r="H19" s="9" t="s">
        <v>76</v>
      </c>
      <c r="I19" s="55">
        <v>0</v>
      </c>
      <c r="J19" s="58">
        <v>0</v>
      </c>
      <c r="K19" s="39">
        <f t="shared" si="0"/>
        <v>0</v>
      </c>
      <c r="L19" s="55">
        <v>0</v>
      </c>
      <c r="M19" s="42">
        <f t="shared" si="1"/>
        <v>0</v>
      </c>
      <c r="N19" s="50">
        <v>0</v>
      </c>
      <c r="O19" s="1" t="s">
        <v>76</v>
      </c>
      <c r="P19" s="75">
        <f>B23+B61+B98+B135+B172+B209+B246+B283+B320+B357+B394+B431+B468+B505+B542+B579+B616+B653+B690+B727+B764+B801+B838+B875+B912</f>
        <v>0</v>
      </c>
      <c r="Q19" s="51">
        <f>D23+D61+D98+D135+D172+D209+D246+D283+D320+D357+D949+D394+D431+D468+D505+D542+D579+D616+D653+D690+D727+D764+D801+D838+D875+D912</f>
        <v>0</v>
      </c>
      <c r="R19" s="51">
        <f t="shared" si="2"/>
        <v>0</v>
      </c>
    </row>
    <row r="20" spans="2:19" x14ac:dyDescent="0.2">
      <c r="B20" s="79"/>
      <c r="C20" s="1" t="s">
        <v>77</v>
      </c>
      <c r="D20" s="77"/>
      <c r="E20" s="2"/>
      <c r="F20" s="8">
        <f t="shared" si="3"/>
        <v>0</v>
      </c>
      <c r="H20" s="9" t="s">
        <v>74</v>
      </c>
      <c r="I20" s="55">
        <v>0</v>
      </c>
      <c r="J20" s="55">
        <v>0</v>
      </c>
      <c r="K20" s="39">
        <f t="shared" si="0"/>
        <v>0</v>
      </c>
      <c r="L20" s="55">
        <v>0</v>
      </c>
      <c r="M20" s="42">
        <f t="shared" si="1"/>
        <v>0</v>
      </c>
      <c r="N20" s="66">
        <v>0</v>
      </c>
      <c r="O20" s="1" t="s">
        <v>74</v>
      </c>
      <c r="P20" s="75">
        <f>B24+B62+B99+B136+B173+B210+B247+B284+B321+B358+B395+B432+B469+B506+B543+B580+B617+B654+B691+B728+B765+B802+B839+B876+B913</f>
        <v>0</v>
      </c>
      <c r="Q20" s="51">
        <f>D24+D62+D99+D136+D173+D210+D247+D284+D321+D358+D950+D395+D432+D469+D506+D543+D580+D617+D654+D691+D728+D765+D802+D839+D876+D913</f>
        <v>0</v>
      </c>
      <c r="R20" s="51">
        <f t="shared" ref="R20:R30" si="4">P20-Q20</f>
        <v>0</v>
      </c>
    </row>
    <row r="21" spans="2:19" x14ac:dyDescent="0.2">
      <c r="B21" s="79"/>
      <c r="C21" s="1" t="s">
        <v>84</v>
      </c>
      <c r="D21" s="77"/>
      <c r="E21" s="2"/>
      <c r="F21" s="8">
        <f t="shared" si="3"/>
        <v>0</v>
      </c>
      <c r="H21" s="9" t="s">
        <v>85</v>
      </c>
      <c r="I21" s="55">
        <v>0</v>
      </c>
      <c r="J21" s="55">
        <v>0</v>
      </c>
      <c r="K21" s="39">
        <f t="shared" si="0"/>
        <v>0</v>
      </c>
      <c r="L21" s="55">
        <v>0</v>
      </c>
      <c r="M21" s="42">
        <f t="shared" si="1"/>
        <v>0</v>
      </c>
      <c r="N21" s="66">
        <v>0</v>
      </c>
      <c r="O21" s="1" t="s">
        <v>85</v>
      </c>
      <c r="P21" s="75">
        <f>B25+B63+B100+B137+B174+B211+B248+B285+B322+B359+B396+B433+B470+B507+B544+B581+B618+B655+B692+B729+B766+B803+B840+B877+B914</f>
        <v>0</v>
      </c>
      <c r="Q21" s="51">
        <f>D25+D63+D100+D137+D174+D211+D248+D285+D322+D359+D951+D396+D433+D470+D507+D544+D581+D618+D655+D692+D729+D766+D803+D840+D877+D914</f>
        <v>0</v>
      </c>
      <c r="R21" s="51">
        <f t="shared" si="4"/>
        <v>0</v>
      </c>
    </row>
    <row r="22" spans="2:19" x14ac:dyDescent="0.2">
      <c r="B22" s="79"/>
      <c r="C22" s="1" t="s">
        <v>73</v>
      </c>
      <c r="D22" s="77"/>
      <c r="E22" s="2"/>
      <c r="F22" s="8">
        <f t="shared" si="3"/>
        <v>0</v>
      </c>
      <c r="H22" s="9" t="s">
        <v>99</v>
      </c>
      <c r="I22" s="55">
        <v>24</v>
      </c>
      <c r="J22" s="55">
        <v>0</v>
      </c>
      <c r="K22" s="39">
        <f t="shared" si="0"/>
        <v>24</v>
      </c>
      <c r="L22" s="55">
        <v>0</v>
      </c>
      <c r="M22" s="42">
        <f t="shared" si="1"/>
        <v>0</v>
      </c>
      <c r="N22" s="66">
        <v>0</v>
      </c>
      <c r="O22" s="1" t="s">
        <v>99</v>
      </c>
      <c r="P22" s="75">
        <f>B26+B64+B101+B138+B175+B212+B249+B286+B323+B360+B397+B434+B471+B508+B545+B582+B619+B656+B693+B730+B767+B804+B841+B878+B915</f>
        <v>24</v>
      </c>
      <c r="Q22" s="51">
        <f>D26+D64+D101+D138+D175+D212+D249+D286+D323+D360+D952+D397+D434+D471+D508+D545+D582+D619+D656+D693+D730+D767+D804+D841+D878+D915</f>
        <v>0</v>
      </c>
      <c r="R22" s="51">
        <f t="shared" si="4"/>
        <v>24</v>
      </c>
    </row>
    <row r="23" spans="2:19" x14ac:dyDescent="0.2">
      <c r="B23" s="79"/>
      <c r="C23" s="1" t="s">
        <v>76</v>
      </c>
      <c r="D23" s="77"/>
      <c r="E23" s="2"/>
      <c r="F23" s="8">
        <f t="shared" si="3"/>
        <v>0</v>
      </c>
      <c r="H23" s="9" t="s">
        <v>108</v>
      </c>
      <c r="I23" s="55">
        <v>0</v>
      </c>
      <c r="J23" s="55">
        <v>0</v>
      </c>
      <c r="K23" s="39">
        <f t="shared" si="0"/>
        <v>0</v>
      </c>
      <c r="L23" s="55">
        <v>0</v>
      </c>
      <c r="M23" s="42">
        <f t="shared" si="1"/>
        <v>0</v>
      </c>
      <c r="N23" s="66">
        <v>0</v>
      </c>
      <c r="O23" s="1" t="s">
        <v>108</v>
      </c>
      <c r="P23" s="75">
        <f>B27+B65+B102+B139+B176+B213+B250+B287+B324+B361+B398+B435+B472+B509+B546+B583+B620+B657+B694+B731+B768+B805+B842+B879+B916</f>
        <v>0</v>
      </c>
      <c r="Q23" s="51">
        <f>D27+D65+D102+D139+D176+D213+D250+D287+D324+D361+D953+D398+D435+D472+D509+D546+D583+D620+D657+D694+D731+D768+D805+D842+D879+D916</f>
        <v>0</v>
      </c>
      <c r="R23" s="51">
        <f t="shared" si="4"/>
        <v>0</v>
      </c>
    </row>
    <row r="24" spans="2:19" x14ac:dyDescent="0.2">
      <c r="B24" s="79"/>
      <c r="C24" s="1" t="s">
        <v>74</v>
      </c>
      <c r="D24" s="77"/>
      <c r="E24" s="2"/>
      <c r="F24" s="8">
        <f t="shared" si="3"/>
        <v>0</v>
      </c>
      <c r="G24" s="10"/>
      <c r="H24" s="64" t="s">
        <v>119</v>
      </c>
      <c r="I24" s="58">
        <v>0</v>
      </c>
      <c r="J24" s="58">
        <v>0</v>
      </c>
      <c r="K24" s="39">
        <f t="shared" si="0"/>
        <v>0</v>
      </c>
      <c r="L24" s="58">
        <v>0</v>
      </c>
      <c r="M24" s="43">
        <f t="shared" si="1"/>
        <v>0</v>
      </c>
      <c r="N24" s="66">
        <v>0</v>
      </c>
      <c r="O24" s="1" t="s">
        <v>104</v>
      </c>
      <c r="P24" s="75">
        <f>B28+B66+B103+B140+B177+B214+B251+B288+B325+B362+B399+B436+B473+B510+B547+B584+B621+B658+B695+B732+B769+B806+B843+B880+B917</f>
        <v>0</v>
      </c>
      <c r="Q24" s="51">
        <f>D28+D66+D103+D140+D177+D214+D251+D288+D325+D362+D954+D399+D436+D473+D510+D547+D584+D621+D658+D695+D732+D769+D806+D843+D880+D917</f>
        <v>0</v>
      </c>
      <c r="R24" s="51">
        <f t="shared" si="4"/>
        <v>0</v>
      </c>
    </row>
    <row r="25" spans="2:19" x14ac:dyDescent="0.2">
      <c r="B25" s="79"/>
      <c r="C25" s="1" t="s">
        <v>85</v>
      </c>
      <c r="D25" s="77"/>
      <c r="E25" s="2"/>
      <c r="F25" s="8">
        <f t="shared" si="3"/>
        <v>0</v>
      </c>
      <c r="G25" s="10"/>
      <c r="H25" s="9" t="s">
        <v>107</v>
      </c>
      <c r="I25" s="55">
        <v>150</v>
      </c>
      <c r="J25" s="58">
        <v>0</v>
      </c>
      <c r="K25" s="39">
        <f t="shared" si="0"/>
        <v>150</v>
      </c>
      <c r="L25" s="58">
        <v>0</v>
      </c>
      <c r="M25" s="43">
        <f t="shared" si="1"/>
        <v>0</v>
      </c>
      <c r="N25" s="78">
        <v>0</v>
      </c>
      <c r="O25" s="1" t="s">
        <v>107</v>
      </c>
      <c r="P25" s="75">
        <f>B29+B67+B104+B141+B178+B215+B252+B289+B326+B363+B400+B437+B474+B511+B548+B585+B622+B659+B696+B733+B770+B807+B844+B881+B918</f>
        <v>150</v>
      </c>
      <c r="Q25" s="51">
        <f>D29+D67+D104+D141+D178+D215+D252+D289+D326+D363+D955+D400+D437+D474+D511+D548+D585+D622+D659+D696+D733+D770+D807+D844+D881+D918</f>
        <v>0</v>
      </c>
      <c r="R25" s="51">
        <f t="shared" si="4"/>
        <v>150</v>
      </c>
    </row>
    <row r="26" spans="2:19" x14ac:dyDescent="0.2">
      <c r="B26" s="72"/>
      <c r="C26" s="1" t="s">
        <v>99</v>
      </c>
      <c r="D26" s="71"/>
      <c r="E26" s="2"/>
      <c r="F26" s="8">
        <f t="shared" si="3"/>
        <v>0</v>
      </c>
      <c r="H26" s="9" t="s">
        <v>122</v>
      </c>
      <c r="I26" s="55">
        <v>30</v>
      </c>
      <c r="J26" s="58">
        <v>0</v>
      </c>
      <c r="K26" s="39">
        <f t="shared" si="0"/>
        <v>30</v>
      </c>
      <c r="L26" s="58">
        <v>0</v>
      </c>
      <c r="M26" s="43">
        <f t="shared" si="1"/>
        <v>0</v>
      </c>
      <c r="N26" s="78">
        <v>0</v>
      </c>
      <c r="O26" s="1" t="s">
        <v>111</v>
      </c>
      <c r="P26" s="89">
        <f>B30+B68+B105+B142+B179+B216+B253+B290+B327+B364+B401+B438+B475+B512+B549+B586+B623+B660+B697+B734+B771+B808+B845+B882+B919</f>
        <v>30</v>
      </c>
      <c r="Q26" s="51">
        <f t="shared" ref="Q26:Q30" si="5">D30+D68+D105+D142+D179+D216+D253+D290+D327+D364+D956+D401+D438+D475+D512+D549+D586+D623+D660+D697+D734+D771+D808+D845+D882+D919</f>
        <v>0</v>
      </c>
      <c r="R26" s="51">
        <f t="shared" si="4"/>
        <v>30</v>
      </c>
    </row>
    <row r="27" spans="2:19" x14ac:dyDescent="0.2">
      <c r="B27" s="72"/>
      <c r="C27" s="1" t="s">
        <v>108</v>
      </c>
      <c r="D27" s="71"/>
      <c r="E27" s="2"/>
      <c r="F27" s="8">
        <f t="shared" si="3"/>
        <v>0</v>
      </c>
      <c r="H27" s="9" t="s">
        <v>123</v>
      </c>
      <c r="I27" s="55">
        <v>60</v>
      </c>
      <c r="J27" s="58">
        <v>0</v>
      </c>
      <c r="K27" s="39">
        <f t="shared" si="0"/>
        <v>60</v>
      </c>
      <c r="L27" s="58">
        <v>0</v>
      </c>
      <c r="M27" s="43">
        <f t="shared" si="1"/>
        <v>0</v>
      </c>
      <c r="N27" s="78">
        <v>0</v>
      </c>
      <c r="O27" s="69" t="s">
        <v>112</v>
      </c>
      <c r="P27" s="39">
        <f t="shared" ref="P26:P30" si="6">B31+B69+B106+B143+B180+B217+B254+B291+B328+B365+B402+B439+B476+B513+B550+B587+B624+B661+B698+B735+B772+B809+B846+B883+B920</f>
        <v>60</v>
      </c>
      <c r="Q27" s="88">
        <f t="shared" si="5"/>
        <v>0</v>
      </c>
      <c r="R27" s="51">
        <f t="shared" si="4"/>
        <v>60</v>
      </c>
    </row>
    <row r="28" spans="2:19" x14ac:dyDescent="0.2">
      <c r="B28" s="72"/>
      <c r="C28" s="1" t="s">
        <v>130</v>
      </c>
      <c r="D28" s="71"/>
      <c r="E28" s="2"/>
      <c r="F28" s="8">
        <f t="shared" si="3"/>
        <v>0</v>
      </c>
      <c r="H28" s="9" t="s">
        <v>126</v>
      </c>
      <c r="I28" s="55">
        <v>20</v>
      </c>
      <c r="J28" s="58">
        <v>0</v>
      </c>
      <c r="K28" s="39">
        <f t="shared" si="0"/>
        <v>20</v>
      </c>
      <c r="L28" s="58">
        <v>0</v>
      </c>
      <c r="M28" s="43">
        <f t="shared" si="1"/>
        <v>0</v>
      </c>
      <c r="N28" s="78">
        <v>0</v>
      </c>
      <c r="O28" s="87" t="s">
        <v>113</v>
      </c>
      <c r="P28" s="39">
        <f t="shared" si="6"/>
        <v>20</v>
      </c>
      <c r="Q28" s="88">
        <f t="shared" si="5"/>
        <v>0</v>
      </c>
      <c r="R28" s="51">
        <f t="shared" si="4"/>
        <v>20</v>
      </c>
    </row>
    <row r="29" spans="2:19" x14ac:dyDescent="0.2">
      <c r="B29" s="72"/>
      <c r="C29" s="1" t="s">
        <v>107</v>
      </c>
      <c r="D29" s="71"/>
      <c r="E29" s="2"/>
      <c r="F29" s="8">
        <f t="shared" si="3"/>
        <v>0</v>
      </c>
      <c r="H29" s="9" t="s">
        <v>127</v>
      </c>
      <c r="I29" s="83">
        <v>0</v>
      </c>
      <c r="J29" s="55">
        <v>0</v>
      </c>
      <c r="K29" s="39">
        <f t="shared" si="0"/>
        <v>0</v>
      </c>
      <c r="L29" s="55">
        <v>0</v>
      </c>
      <c r="M29" s="43">
        <f t="shared" si="1"/>
        <v>0</v>
      </c>
      <c r="N29" s="78">
        <v>0</v>
      </c>
      <c r="O29" s="76"/>
      <c r="P29" s="39">
        <f t="shared" si="6"/>
        <v>0</v>
      </c>
      <c r="Q29" s="88">
        <f t="shared" si="5"/>
        <v>0</v>
      </c>
      <c r="R29" s="51">
        <f t="shared" si="4"/>
        <v>0</v>
      </c>
    </row>
    <row r="30" spans="2:19" ht="15.75" thickBot="1" x14ac:dyDescent="0.25">
      <c r="B30" s="79"/>
      <c r="C30" s="74"/>
      <c r="D30" s="77"/>
      <c r="E30" s="2"/>
      <c r="F30" s="8">
        <f t="shared" si="3"/>
        <v>0</v>
      </c>
      <c r="H30" s="85" t="s">
        <v>133</v>
      </c>
      <c r="I30" s="86">
        <v>0</v>
      </c>
      <c r="J30" s="86">
        <v>0</v>
      </c>
      <c r="K30" s="39">
        <f t="shared" si="0"/>
        <v>0</v>
      </c>
      <c r="L30" s="86">
        <v>0</v>
      </c>
      <c r="M30" s="63">
        <f t="shared" si="1"/>
        <v>0</v>
      </c>
      <c r="N30" s="78">
        <v>0</v>
      </c>
      <c r="O30" s="69"/>
      <c r="P30" s="39">
        <f>B34+B72+B109+B146+B183+B220+B257+B294+B331+B368+B405+B442+B479+B516+B553+B590+B627+B664+B701+B738+B775+B812+B849+B886+B923</f>
        <v>0</v>
      </c>
      <c r="Q30" s="88">
        <f>D34+D72+D109+D146+D183+D220+D257+D294+D331+D368+D960+D405+D442+D479+D516+D553+D590+D627+D664+D701+D738+D775+D812+D849+D886+D923</f>
        <v>0</v>
      </c>
      <c r="R30" s="51">
        <f t="shared" si="4"/>
        <v>0</v>
      </c>
      <c r="S30" s="24"/>
    </row>
    <row r="31" spans="2:19" ht="15.75" thickBot="1" x14ac:dyDescent="0.25">
      <c r="B31" s="79"/>
      <c r="C31" s="74"/>
      <c r="D31" s="77"/>
      <c r="E31" s="2"/>
      <c r="F31" s="8">
        <f t="shared" si="3"/>
        <v>0</v>
      </c>
      <c r="H31" s="153" t="s">
        <v>6</v>
      </c>
      <c r="I31" s="141"/>
      <c r="J31" s="141"/>
      <c r="K31" s="150" t="str">
        <f>H2</f>
        <v>Oktober Rabu 21 2026</v>
      </c>
      <c r="L31" s="151"/>
      <c r="M31" s="152"/>
      <c r="N31" s="14"/>
      <c r="P31" s="25"/>
      <c r="Q31" s="18"/>
      <c r="R31" s="18"/>
    </row>
    <row r="32" spans="2:19" ht="15" customHeight="1" x14ac:dyDescent="0.2">
      <c r="B32" s="79"/>
      <c r="C32" s="74"/>
      <c r="D32" s="77"/>
      <c r="E32" s="2"/>
      <c r="F32" s="8">
        <f t="shared" si="3"/>
        <v>0</v>
      </c>
      <c r="H32" s="131" t="s">
        <v>18</v>
      </c>
      <c r="I32" s="132"/>
      <c r="J32" s="133"/>
      <c r="K32" s="104">
        <f>F38+F76+F113+F150+F187+F224+F261+F298+F335+F372+F409+F446+F483+F520+F557+F594+F631+F668+F705+F742+F779+F816+F853+F890+F927+F960</f>
        <v>9675000</v>
      </c>
      <c r="L32" s="105"/>
      <c r="M32" s="106"/>
      <c r="N32" s="65"/>
      <c r="P32" s="24"/>
    </row>
    <row r="33" spans="1:20" ht="16.5" customHeight="1" x14ac:dyDescent="0.2">
      <c r="B33" s="35"/>
      <c r="C33" s="74"/>
      <c r="D33" s="57"/>
      <c r="E33" s="2"/>
      <c r="F33" s="8">
        <f t="shared" si="3"/>
        <v>0</v>
      </c>
      <c r="H33" s="134" t="s">
        <v>11</v>
      </c>
      <c r="I33" s="135"/>
      <c r="J33" s="92"/>
      <c r="K33" s="161">
        <v>309000</v>
      </c>
      <c r="L33" s="162"/>
      <c r="M33" s="163"/>
      <c r="N33" s="14"/>
      <c r="P33" s="24"/>
      <c r="Q33" s="24"/>
    </row>
    <row r="34" spans="1:20" x14ac:dyDescent="0.2">
      <c r="B34" s="9"/>
      <c r="C34" s="68"/>
      <c r="D34" s="11"/>
      <c r="E34" s="1"/>
      <c r="F34" s="8">
        <f t="shared" si="3"/>
        <v>0</v>
      </c>
      <c r="H34" s="134" t="s">
        <v>25</v>
      </c>
      <c r="I34" s="135"/>
      <c r="J34" s="92"/>
      <c r="K34" s="161">
        <v>30000</v>
      </c>
      <c r="L34" s="162"/>
      <c r="M34" s="163"/>
      <c r="N34" s="14"/>
      <c r="O34" s="124"/>
      <c r="P34" s="124"/>
      <c r="Q34" s="124"/>
      <c r="R34" s="125"/>
    </row>
    <row r="35" spans="1:20" ht="15.75" thickBot="1" x14ac:dyDescent="0.25">
      <c r="B35" s="128" t="s">
        <v>12</v>
      </c>
      <c r="C35" s="129"/>
      <c r="D35" s="129"/>
      <c r="E35" s="130"/>
      <c r="F35" s="45">
        <f>SUM(F9:F34)</f>
        <v>0</v>
      </c>
      <c r="H35" s="134" t="s">
        <v>9</v>
      </c>
      <c r="I35" s="135"/>
      <c r="J35" s="92"/>
      <c r="K35" s="101">
        <f>(K32+K33)-K34</f>
        <v>9954000</v>
      </c>
      <c r="L35" s="102"/>
      <c r="M35" s="103"/>
      <c r="N35" s="14"/>
      <c r="P35" s="24"/>
    </row>
    <row r="36" spans="1:20" ht="15.75" thickBot="1" x14ac:dyDescent="0.25">
      <c r="B36" s="131" t="s">
        <v>8</v>
      </c>
      <c r="C36" s="132"/>
      <c r="D36" s="132"/>
      <c r="E36" s="133"/>
      <c r="F36" s="17">
        <v>0</v>
      </c>
      <c r="H36" s="134" t="s">
        <v>24</v>
      </c>
      <c r="I36" s="135"/>
      <c r="J36" s="92"/>
      <c r="K36" s="158">
        <v>9500000</v>
      </c>
      <c r="L36" s="159"/>
      <c r="M36" s="160"/>
      <c r="P36" s="24"/>
      <c r="Q36" s="124"/>
      <c r="R36" s="124"/>
      <c r="S36" s="124"/>
      <c r="T36" s="125"/>
    </row>
    <row r="37" spans="1:20" ht="15.75" thickBot="1" x14ac:dyDescent="0.25">
      <c r="B37" s="131" t="s">
        <v>8</v>
      </c>
      <c r="C37" s="132"/>
      <c r="D37" s="132"/>
      <c r="E37" s="133"/>
      <c r="F37" s="17"/>
      <c r="H37" s="98" t="s">
        <v>11</v>
      </c>
      <c r="I37" s="99"/>
      <c r="J37" s="100"/>
      <c r="K37" s="95">
        <f>K35-K36</f>
        <v>454000</v>
      </c>
      <c r="L37" s="96"/>
      <c r="M37" s="97"/>
    </row>
    <row r="38" spans="1:20" ht="15.75" thickBot="1" x14ac:dyDescent="0.25">
      <c r="B38" s="134" t="s">
        <v>9</v>
      </c>
      <c r="C38" s="135"/>
      <c r="D38" s="135"/>
      <c r="E38" s="92"/>
      <c r="F38" s="46">
        <f>F36+F37</f>
        <v>0</v>
      </c>
      <c r="H38" s="167" t="s">
        <v>58</v>
      </c>
      <c r="I38" s="167"/>
      <c r="J38" s="167"/>
      <c r="K38" s="157" t="str">
        <f>K31</f>
        <v>Oktober Rabu 21 2026</v>
      </c>
      <c r="L38" s="157"/>
      <c r="M38" s="157"/>
      <c r="N38" s="14"/>
    </row>
    <row r="39" spans="1:20" ht="15.75" thickBot="1" x14ac:dyDescent="0.25">
      <c r="B39" s="134" t="s">
        <v>60</v>
      </c>
      <c r="C39" s="135"/>
      <c r="D39" s="135"/>
      <c r="E39" s="92"/>
      <c r="F39" s="8">
        <v>0</v>
      </c>
      <c r="H39" s="28" t="s">
        <v>48</v>
      </c>
      <c r="I39" s="110" t="s">
        <v>27</v>
      </c>
      <c r="J39" s="111"/>
      <c r="K39" s="154" t="s">
        <v>28</v>
      </c>
      <c r="L39" s="155"/>
      <c r="M39" s="156"/>
      <c r="N39" s="14"/>
      <c r="P39" s="124"/>
      <c r="Q39" s="124"/>
      <c r="R39" s="124"/>
      <c r="S39" s="125"/>
    </row>
    <row r="40" spans="1:20" ht="15.75" thickBot="1" x14ac:dyDescent="0.25">
      <c r="B40" s="98" t="s">
        <v>11</v>
      </c>
      <c r="C40" s="99"/>
      <c r="D40" s="99"/>
      <c r="E40" s="100"/>
      <c r="F40" s="47">
        <f>F39-F38</f>
        <v>0</v>
      </c>
      <c r="H40" s="20">
        <v>1</v>
      </c>
      <c r="I40" s="93" t="str">
        <f>C5</f>
        <v>mz salam</v>
      </c>
      <c r="J40" s="94"/>
      <c r="K40" s="104">
        <f>F40</f>
        <v>0</v>
      </c>
      <c r="L40" s="105"/>
      <c r="M40" s="106"/>
      <c r="N40" s="14"/>
    </row>
    <row r="41" spans="1:20" ht="15.75" thickBot="1" x14ac:dyDescent="0.25">
      <c r="H41" s="35">
        <v>2</v>
      </c>
      <c r="I41" s="91" t="str">
        <f>C43</f>
        <v>Mb Rini</v>
      </c>
      <c r="J41" s="92"/>
      <c r="K41" s="101">
        <f>F77</f>
        <v>-3460000</v>
      </c>
      <c r="L41" s="102"/>
      <c r="M41" s="103"/>
      <c r="N41" s="14"/>
      <c r="P41" s="65"/>
      <c r="R41" s="24"/>
    </row>
    <row r="42" spans="1:20" x14ac:dyDescent="0.2">
      <c r="B42" s="6" t="s">
        <v>2</v>
      </c>
      <c r="C42" s="138" t="str">
        <f>E2</f>
        <v>Oktober Rabu 21 2026</v>
      </c>
      <c r="D42" s="139"/>
      <c r="E42" s="139"/>
      <c r="F42" s="140"/>
      <c r="H42" s="35">
        <v>3</v>
      </c>
      <c r="I42" s="91" t="str">
        <f>C80</f>
        <v xml:space="preserve">mihrom </v>
      </c>
      <c r="J42" s="92"/>
      <c r="K42" s="101">
        <f>F114</f>
        <v>-120000</v>
      </c>
      <c r="L42" s="102"/>
      <c r="M42" s="103"/>
      <c r="N42" s="14"/>
    </row>
    <row r="43" spans="1:20" x14ac:dyDescent="0.2">
      <c r="A43" s="31">
        <v>2</v>
      </c>
      <c r="B43" s="7" t="s">
        <v>0</v>
      </c>
      <c r="C43" s="124" t="s">
        <v>51</v>
      </c>
      <c r="D43" s="124"/>
      <c r="E43" s="124"/>
      <c r="F43" s="125"/>
      <c r="H43" s="35">
        <v>4</v>
      </c>
      <c r="I43" s="91" t="str">
        <f>C117</f>
        <v>Pak Eko</v>
      </c>
      <c r="J43" s="92"/>
      <c r="K43" s="101">
        <f>F151</f>
        <v>-43000</v>
      </c>
      <c r="L43" s="102"/>
      <c r="M43" s="103"/>
      <c r="N43" s="14"/>
    </row>
    <row r="44" spans="1:20" x14ac:dyDescent="0.2">
      <c r="B44" s="7" t="s">
        <v>1</v>
      </c>
      <c r="C44" s="124" t="s">
        <v>52</v>
      </c>
      <c r="D44" s="124"/>
      <c r="E44" s="124"/>
      <c r="F44" s="125"/>
      <c r="H44" s="35">
        <v>5</v>
      </c>
      <c r="I44" s="91" t="str">
        <f>C154</f>
        <v>Mba Upik</v>
      </c>
      <c r="J44" s="92"/>
      <c r="K44" s="101">
        <f>F188</f>
        <v>0</v>
      </c>
      <c r="L44" s="102"/>
      <c r="M44" s="103"/>
      <c r="N44" s="53"/>
    </row>
    <row r="45" spans="1:20" ht="15.75" thickBot="1" x14ac:dyDescent="0.25">
      <c r="B45" s="7"/>
      <c r="C45" s="126"/>
      <c r="D45" s="126"/>
      <c r="E45" s="126"/>
      <c r="F45" s="127"/>
      <c r="H45" s="35">
        <v>6</v>
      </c>
      <c r="I45" s="91" t="str">
        <f>C191</f>
        <v>Mba Sur</v>
      </c>
      <c r="J45" s="92"/>
      <c r="K45" s="101">
        <f>F225</f>
        <v>-9619000</v>
      </c>
      <c r="L45" s="102"/>
      <c r="M45" s="103"/>
      <c r="N45" s="53"/>
    </row>
    <row r="46" spans="1:20" x14ac:dyDescent="0.2">
      <c r="B46" s="3" t="s">
        <v>3</v>
      </c>
      <c r="C46" s="4" t="s">
        <v>4</v>
      </c>
      <c r="D46" s="4" t="s">
        <v>5</v>
      </c>
      <c r="E46" s="4" t="s">
        <v>7</v>
      </c>
      <c r="F46" s="5" t="s">
        <v>6</v>
      </c>
      <c r="H46" s="35">
        <v>7</v>
      </c>
      <c r="I46" s="91" t="str">
        <f>C228</f>
        <v>Mba ipung</v>
      </c>
      <c r="J46" s="92"/>
      <c r="K46" s="101">
        <f>F262</f>
        <v>-1299900</v>
      </c>
      <c r="L46" s="102"/>
      <c r="M46" s="103"/>
      <c r="N46" s="14"/>
    </row>
    <row r="47" spans="1:20" x14ac:dyDescent="0.2">
      <c r="B47" s="19">
        <v>50</v>
      </c>
      <c r="C47" s="1" t="s">
        <v>80</v>
      </c>
      <c r="D47" s="11"/>
      <c r="E47" s="2">
        <v>3800</v>
      </c>
      <c r="F47" s="8">
        <f>(B47-D47) *E47</f>
        <v>190000</v>
      </c>
      <c r="H47" s="35">
        <v>8</v>
      </c>
      <c r="I47" s="91" t="str">
        <f>C265</f>
        <v>Pak Kotim</v>
      </c>
      <c r="J47" s="92"/>
      <c r="K47" s="101">
        <f>F299</f>
        <v>-2897800</v>
      </c>
      <c r="L47" s="102"/>
      <c r="M47" s="103"/>
      <c r="N47" s="14"/>
    </row>
    <row r="48" spans="1:20" x14ac:dyDescent="0.2">
      <c r="B48" s="19"/>
      <c r="C48" s="1" t="s">
        <v>16</v>
      </c>
      <c r="D48" s="11"/>
      <c r="E48" s="2">
        <v>9300</v>
      </c>
      <c r="F48" s="8">
        <f>(B48-D48) *E48</f>
        <v>0</v>
      </c>
      <c r="H48" s="35">
        <v>9</v>
      </c>
      <c r="I48" s="91" t="str">
        <f>C302</f>
        <v>Pak Slamet</v>
      </c>
      <c r="J48" s="92"/>
      <c r="K48" s="101">
        <f>F336</f>
        <v>-100000</v>
      </c>
      <c r="L48" s="102"/>
      <c r="M48" s="103"/>
      <c r="N48" s="14"/>
    </row>
    <row r="49" spans="2:43" x14ac:dyDescent="0.2">
      <c r="B49" s="19"/>
      <c r="C49" s="1" t="s">
        <v>78</v>
      </c>
      <c r="D49" s="11"/>
      <c r="E49" s="2">
        <v>4800</v>
      </c>
      <c r="F49" s="8">
        <f>(B49-D49) *E49</f>
        <v>0</v>
      </c>
      <c r="H49" s="35">
        <v>10</v>
      </c>
      <c r="I49" s="91" t="str">
        <f>C339</f>
        <v>Bu Umi</v>
      </c>
      <c r="J49" s="92"/>
      <c r="K49" s="101">
        <f>F373</f>
        <v>-645000</v>
      </c>
      <c r="L49" s="102"/>
      <c r="M49" s="103"/>
      <c r="N49" s="14"/>
    </row>
    <row r="50" spans="2:43" x14ac:dyDescent="0.2">
      <c r="B50" s="19"/>
      <c r="C50" s="1" t="s">
        <v>79</v>
      </c>
      <c r="D50" s="11"/>
      <c r="E50" s="2">
        <v>222000</v>
      </c>
      <c r="F50" s="8">
        <f>(B50-D50) *E50</f>
        <v>0</v>
      </c>
      <c r="H50" s="35">
        <v>11</v>
      </c>
      <c r="I50" s="91" t="str">
        <f>C376</f>
        <v>pk sutikno</v>
      </c>
      <c r="J50" s="92"/>
      <c r="K50" s="101">
        <f>F410</f>
        <v>0</v>
      </c>
      <c r="L50" s="102"/>
      <c r="M50" s="103"/>
      <c r="N50" s="14"/>
    </row>
    <row r="51" spans="2:43" x14ac:dyDescent="0.2">
      <c r="B51" s="19"/>
      <c r="C51" s="1" t="s">
        <v>17</v>
      </c>
      <c r="D51" s="11"/>
      <c r="E51" s="2">
        <v>17000</v>
      </c>
      <c r="F51" s="8">
        <f>(B51-D51) *E51</f>
        <v>0</v>
      </c>
      <c r="H51" s="35">
        <v>12</v>
      </c>
      <c r="I51" s="91" t="str">
        <f>C413</f>
        <v>mba Siti cantik</v>
      </c>
      <c r="J51" s="92"/>
      <c r="K51" s="101">
        <f>F447</f>
        <v>-170500</v>
      </c>
      <c r="L51" s="102"/>
      <c r="M51" s="103"/>
      <c r="N51" s="14"/>
    </row>
    <row r="52" spans="2:43" x14ac:dyDescent="0.2">
      <c r="B52" s="19"/>
      <c r="C52" s="1" t="s">
        <v>105</v>
      </c>
      <c r="D52" s="11"/>
      <c r="E52" s="2">
        <v>75000</v>
      </c>
      <c r="F52" s="8">
        <f t="shared" ref="F52:F57" si="7">(B52-D52) *E52</f>
        <v>0</v>
      </c>
      <c r="H52" s="35">
        <v>13</v>
      </c>
      <c r="I52" s="91" t="str">
        <f>C450</f>
        <v>mba sugi</v>
      </c>
      <c r="J52" s="92"/>
      <c r="K52" s="101">
        <f>F484</f>
        <v>-185000</v>
      </c>
      <c r="L52" s="102"/>
      <c r="M52" s="103"/>
      <c r="N52" s="14"/>
      <c r="AQ52">
        <v>86</v>
      </c>
    </row>
    <row r="53" spans="2:43" x14ac:dyDescent="0.2">
      <c r="B53" s="19"/>
      <c r="C53" s="1" t="s">
        <v>106</v>
      </c>
      <c r="D53" s="11"/>
      <c r="E53" s="2">
        <v>5000</v>
      </c>
      <c r="F53" s="8">
        <f t="shared" si="7"/>
        <v>0</v>
      </c>
      <c r="H53" s="35">
        <v>14</v>
      </c>
      <c r="I53" s="91" t="str">
        <f>C487</f>
        <v xml:space="preserve">septi </v>
      </c>
      <c r="J53" s="92"/>
      <c r="K53" s="101">
        <f>F521</f>
        <v>0</v>
      </c>
      <c r="L53" s="102"/>
      <c r="M53" s="103"/>
      <c r="N53" s="14"/>
    </row>
    <row r="54" spans="2:43" x14ac:dyDescent="0.2">
      <c r="B54" s="19"/>
      <c r="C54" s="1" t="s">
        <v>71</v>
      </c>
      <c r="D54" s="11"/>
      <c r="E54" s="2">
        <v>56000</v>
      </c>
      <c r="F54" s="8">
        <f t="shared" si="7"/>
        <v>0</v>
      </c>
      <c r="H54" s="35">
        <v>15</v>
      </c>
      <c r="I54" s="91" t="str">
        <f>C524</f>
        <v>rendy</v>
      </c>
      <c r="J54" s="92"/>
      <c r="K54" s="101">
        <f>F558</f>
        <v>-1532000</v>
      </c>
      <c r="L54" s="102"/>
      <c r="M54" s="103"/>
      <c r="N54" s="14"/>
    </row>
    <row r="55" spans="2:43" x14ac:dyDescent="0.2">
      <c r="B55" s="19"/>
      <c r="C55" s="1" t="s">
        <v>103</v>
      </c>
      <c r="D55" s="11"/>
      <c r="E55" s="2">
        <v>9000</v>
      </c>
      <c r="F55" s="8">
        <f t="shared" si="7"/>
        <v>0</v>
      </c>
      <c r="H55" s="35">
        <v>16</v>
      </c>
      <c r="I55" s="91" t="str">
        <f>C561</f>
        <v>pk rohman</v>
      </c>
      <c r="J55" s="92"/>
      <c r="K55" s="101">
        <f>F595</f>
        <v>-8106000</v>
      </c>
      <c r="L55" s="102"/>
      <c r="M55" s="103"/>
      <c r="N55" s="14"/>
    </row>
    <row r="56" spans="2:43" x14ac:dyDescent="0.2">
      <c r="B56" s="35"/>
      <c r="C56" s="1" t="s">
        <v>72</v>
      </c>
      <c r="D56" s="52"/>
      <c r="E56" s="2">
        <v>3800</v>
      </c>
      <c r="F56" s="8">
        <f t="shared" si="7"/>
        <v>0</v>
      </c>
      <c r="H56" s="35">
        <v>17</v>
      </c>
      <c r="I56" s="91" t="str">
        <f>C598</f>
        <v>Mz ozi</v>
      </c>
      <c r="J56" s="92"/>
      <c r="K56" s="101">
        <f>F632</f>
        <v>-120000</v>
      </c>
      <c r="L56" s="102"/>
      <c r="M56" s="103"/>
      <c r="N56" s="14"/>
    </row>
    <row r="57" spans="2:43" x14ac:dyDescent="0.2">
      <c r="B57" s="35"/>
      <c r="C57" s="1" t="s">
        <v>98</v>
      </c>
      <c r="D57" s="52"/>
      <c r="E57" s="2">
        <v>4700</v>
      </c>
      <c r="F57" s="8">
        <f t="shared" si="7"/>
        <v>0</v>
      </c>
      <c r="H57" s="35">
        <v>18</v>
      </c>
      <c r="I57" s="91" t="str">
        <f>C635</f>
        <v>Bu parli</v>
      </c>
      <c r="J57" s="92"/>
      <c r="K57" s="101">
        <f>F669</f>
        <v>-184500</v>
      </c>
      <c r="L57" s="102"/>
      <c r="M57" s="103"/>
      <c r="N57" s="14"/>
    </row>
    <row r="58" spans="2:43" x14ac:dyDescent="0.2">
      <c r="B58" s="35"/>
      <c r="C58" s="1" t="s">
        <v>77</v>
      </c>
      <c r="D58" s="52"/>
      <c r="E58" s="2">
        <v>9250</v>
      </c>
      <c r="F58" s="8">
        <f t="shared" ref="F58:F72" si="8">(B58-D58) *E58</f>
        <v>0</v>
      </c>
      <c r="H58" s="35">
        <v>19</v>
      </c>
      <c r="I58" s="91" t="str">
        <f>C672</f>
        <v>Sumber sari frozen</v>
      </c>
      <c r="J58" s="92"/>
      <c r="K58" s="101">
        <f>F706</f>
        <v>-1675000</v>
      </c>
      <c r="L58" s="102"/>
      <c r="M58" s="103"/>
      <c r="N58" s="14"/>
    </row>
    <row r="59" spans="2:43" x14ac:dyDescent="0.2">
      <c r="B59" s="35"/>
      <c r="C59" s="1" t="s">
        <v>84</v>
      </c>
      <c r="D59" s="52"/>
      <c r="E59" s="2">
        <v>8500</v>
      </c>
      <c r="F59" s="8">
        <f t="shared" si="8"/>
        <v>0</v>
      </c>
      <c r="H59" s="16">
        <v>20</v>
      </c>
      <c r="I59" s="91" t="str">
        <f>C709</f>
        <v>Bu sanah</v>
      </c>
      <c r="J59" s="92"/>
      <c r="K59" s="101">
        <f>F743</f>
        <v>0</v>
      </c>
      <c r="L59" s="102"/>
      <c r="M59" s="103"/>
      <c r="N59" s="14"/>
    </row>
    <row r="60" spans="2:43" x14ac:dyDescent="0.2">
      <c r="B60" s="35"/>
      <c r="C60" s="1" t="s">
        <v>73</v>
      </c>
      <c r="D60" s="52"/>
      <c r="E60" s="2">
        <v>8650</v>
      </c>
      <c r="F60" s="8">
        <f t="shared" si="8"/>
        <v>0</v>
      </c>
      <c r="H60" s="35">
        <v>21</v>
      </c>
      <c r="I60" s="91" t="str">
        <f>C746</f>
        <v>mba rumi</v>
      </c>
      <c r="J60" s="92"/>
      <c r="K60" s="115">
        <f>F780</f>
        <v>0</v>
      </c>
      <c r="L60" s="116"/>
      <c r="M60" s="117"/>
    </row>
    <row r="61" spans="2:43" x14ac:dyDescent="0.2">
      <c r="B61" s="35"/>
      <c r="C61" s="1" t="s">
        <v>76</v>
      </c>
      <c r="D61" s="52"/>
      <c r="E61" s="2">
        <v>9250</v>
      </c>
      <c r="F61" s="8">
        <f t="shared" si="8"/>
        <v>0</v>
      </c>
      <c r="H61" s="35">
        <v>22</v>
      </c>
      <c r="I61" s="91" t="str">
        <f>C783</f>
        <v>apri</v>
      </c>
      <c r="J61" s="92"/>
      <c r="K61" s="101">
        <f>F817</f>
        <v>-55000</v>
      </c>
      <c r="L61" s="102"/>
      <c r="M61" s="103"/>
    </row>
    <row r="62" spans="2:43" x14ac:dyDescent="0.2">
      <c r="B62" s="72"/>
      <c r="C62" s="1" t="s">
        <v>74</v>
      </c>
      <c r="D62" s="71"/>
      <c r="E62" s="2">
        <v>3800</v>
      </c>
      <c r="F62" s="8">
        <f t="shared" si="8"/>
        <v>0</v>
      </c>
      <c r="H62" s="16">
        <v>23</v>
      </c>
      <c r="I62" s="91" t="str">
        <f>C820</f>
        <v>Samsul cambah</v>
      </c>
      <c r="J62" s="92"/>
      <c r="K62" s="101">
        <f>F854</f>
        <v>0</v>
      </c>
      <c r="L62" s="102"/>
      <c r="M62" s="103"/>
    </row>
    <row r="63" spans="2:43" x14ac:dyDescent="0.2">
      <c r="B63" s="72"/>
      <c r="C63" s="1" t="s">
        <v>85</v>
      </c>
      <c r="D63" s="71"/>
      <c r="E63" s="2">
        <v>3700</v>
      </c>
      <c r="F63" s="8">
        <f t="shared" si="8"/>
        <v>0</v>
      </c>
      <c r="H63" s="27">
        <v>24</v>
      </c>
      <c r="I63" s="118" t="str">
        <f>C857</f>
        <v>mba meli</v>
      </c>
      <c r="J63" s="119"/>
      <c r="K63" s="112">
        <f>F891</f>
        <v>0</v>
      </c>
      <c r="L63" s="113"/>
      <c r="M63" s="114"/>
    </row>
    <row r="64" spans="2:43" ht="15.75" thickBot="1" x14ac:dyDescent="0.25">
      <c r="B64" s="72"/>
      <c r="C64" s="1" t="s">
        <v>99</v>
      </c>
      <c r="D64" s="71"/>
      <c r="E64" s="2">
        <v>216000</v>
      </c>
      <c r="F64" s="8">
        <f t="shared" si="8"/>
        <v>0</v>
      </c>
      <c r="H64" s="30">
        <v>25</v>
      </c>
      <c r="I64" s="123" t="str">
        <f>C858</f>
        <v>banjar</v>
      </c>
      <c r="J64" s="100"/>
      <c r="K64" s="120">
        <f>F928</f>
        <v>-224000</v>
      </c>
      <c r="L64" s="121"/>
      <c r="M64" s="122"/>
    </row>
    <row r="65" spans="1:42" ht="15.75" thickBot="1" x14ac:dyDescent="0.25">
      <c r="B65" s="72"/>
      <c r="C65" s="1" t="s">
        <v>108</v>
      </c>
      <c r="D65" s="71"/>
      <c r="E65" s="2">
        <v>9000</v>
      </c>
      <c r="F65" s="8">
        <f t="shared" si="8"/>
        <v>0</v>
      </c>
      <c r="H65" s="29"/>
      <c r="I65" s="110" t="s">
        <v>9</v>
      </c>
      <c r="J65" s="111"/>
      <c r="K65" s="107">
        <f>SUM(K40:K64)</f>
        <v>-30436700</v>
      </c>
      <c r="L65" s="108"/>
      <c r="M65" s="109"/>
    </row>
    <row r="66" spans="1:42" x14ac:dyDescent="0.2">
      <c r="B66" s="35"/>
      <c r="C66" s="1" t="s">
        <v>104</v>
      </c>
      <c r="D66" s="57"/>
      <c r="E66" s="2"/>
      <c r="F66" s="8">
        <f t="shared" si="8"/>
        <v>0</v>
      </c>
    </row>
    <row r="67" spans="1:42" x14ac:dyDescent="0.2">
      <c r="B67" s="35"/>
      <c r="C67" s="1" t="s">
        <v>107</v>
      </c>
      <c r="D67" s="57"/>
      <c r="E67" s="2"/>
      <c r="F67" s="8">
        <f t="shared" si="8"/>
        <v>0</v>
      </c>
    </row>
    <row r="68" spans="1:42" x14ac:dyDescent="0.2">
      <c r="B68" s="35"/>
      <c r="C68" s="1"/>
      <c r="D68" s="57"/>
      <c r="E68" s="2"/>
      <c r="F68" s="8">
        <f t="shared" si="8"/>
        <v>0</v>
      </c>
    </row>
    <row r="69" spans="1:42" x14ac:dyDescent="0.2">
      <c r="B69" s="35"/>
      <c r="C69" s="1"/>
      <c r="D69" s="57"/>
      <c r="E69" s="2"/>
      <c r="F69" s="8">
        <f t="shared" si="8"/>
        <v>0</v>
      </c>
    </row>
    <row r="70" spans="1:42" x14ac:dyDescent="0.2">
      <c r="B70" s="35"/>
      <c r="C70" s="1"/>
      <c r="D70" s="57"/>
      <c r="E70" s="2"/>
      <c r="F70" s="8">
        <f t="shared" si="8"/>
        <v>0</v>
      </c>
    </row>
    <row r="71" spans="1:42" x14ac:dyDescent="0.2">
      <c r="B71" s="35"/>
      <c r="C71" s="1"/>
      <c r="D71" s="57"/>
      <c r="E71" s="2"/>
      <c r="F71" s="8">
        <f t="shared" si="8"/>
        <v>0</v>
      </c>
    </row>
    <row r="72" spans="1:42" x14ac:dyDescent="0.2">
      <c r="B72" s="9"/>
      <c r="C72" s="68"/>
      <c r="D72" s="11"/>
      <c r="E72" s="1"/>
      <c r="F72" s="8">
        <f t="shared" si="8"/>
        <v>0</v>
      </c>
    </row>
    <row r="73" spans="1:42" ht="15.75" thickBot="1" x14ac:dyDescent="0.25">
      <c r="B73" s="128" t="s">
        <v>12</v>
      </c>
      <c r="C73" s="129"/>
      <c r="D73" s="129"/>
      <c r="E73" s="130"/>
      <c r="F73" s="45">
        <f>SUM(F47:F72)</f>
        <v>190000</v>
      </c>
    </row>
    <row r="74" spans="1:42" x14ac:dyDescent="0.2">
      <c r="B74" s="131" t="s">
        <v>8</v>
      </c>
      <c r="C74" s="132"/>
      <c r="D74" s="132"/>
      <c r="E74" s="133"/>
      <c r="F74" s="17">
        <v>3270000</v>
      </c>
    </row>
    <row r="75" spans="1:42" x14ac:dyDescent="0.2">
      <c r="B75" s="134" t="s">
        <v>9</v>
      </c>
      <c r="C75" s="135"/>
      <c r="D75" s="135"/>
      <c r="E75" s="92"/>
      <c r="F75" s="46">
        <f>F73+F74</f>
        <v>3460000</v>
      </c>
    </row>
    <row r="76" spans="1:42" x14ac:dyDescent="0.2">
      <c r="B76" s="134" t="s">
        <v>60</v>
      </c>
      <c r="C76" s="135"/>
      <c r="D76" s="135"/>
      <c r="E76" s="92"/>
      <c r="F76" s="8">
        <v>0</v>
      </c>
    </row>
    <row r="77" spans="1:42" ht="15.75" thickBot="1" x14ac:dyDescent="0.25">
      <c r="B77" s="98" t="s">
        <v>11</v>
      </c>
      <c r="C77" s="99"/>
      <c r="D77" s="99"/>
      <c r="E77" s="100"/>
      <c r="F77" s="47">
        <f>F76-F75</f>
        <v>-3460000</v>
      </c>
    </row>
    <row r="78" spans="1:42" ht="15.75" thickBot="1" x14ac:dyDescent="0.25">
      <c r="B78" s="12"/>
      <c r="C78" s="12"/>
      <c r="D78" s="12"/>
      <c r="E78" s="12"/>
      <c r="AP78">
        <v>7</v>
      </c>
    </row>
    <row r="79" spans="1:42" x14ac:dyDescent="0.2">
      <c r="B79" s="6" t="s">
        <v>2</v>
      </c>
      <c r="C79" s="138" t="str">
        <f>E2</f>
        <v>Oktober Rabu 21 2026</v>
      </c>
      <c r="D79" s="139"/>
      <c r="E79" s="139"/>
      <c r="F79" s="140"/>
    </row>
    <row r="80" spans="1:42" x14ac:dyDescent="0.2">
      <c r="A80" s="31" t="s">
        <v>29</v>
      </c>
      <c r="B80" s="7" t="s">
        <v>0</v>
      </c>
      <c r="C80" s="124" t="s">
        <v>81</v>
      </c>
      <c r="D80" s="124"/>
      <c r="E80" s="124"/>
      <c r="F80" s="125"/>
    </row>
    <row r="81" spans="2:6" x14ac:dyDescent="0.2">
      <c r="B81" s="7" t="s">
        <v>1</v>
      </c>
      <c r="C81" s="124" t="s">
        <v>52</v>
      </c>
      <c r="D81" s="124"/>
      <c r="E81" s="124"/>
      <c r="F81" s="125"/>
    </row>
    <row r="82" spans="2:6" ht="15.75" thickBot="1" x14ac:dyDescent="0.25">
      <c r="B82" s="7"/>
      <c r="C82" s="126"/>
      <c r="D82" s="126"/>
      <c r="E82" s="126"/>
      <c r="F82" s="127"/>
    </row>
    <row r="83" spans="2:6" x14ac:dyDescent="0.2">
      <c r="B83" s="3" t="s">
        <v>3</v>
      </c>
      <c r="C83" s="4" t="s">
        <v>4</v>
      </c>
      <c r="D83" s="4" t="s">
        <v>5</v>
      </c>
      <c r="E83" s="4" t="s">
        <v>7</v>
      </c>
      <c r="F83" s="5" t="s">
        <v>6</v>
      </c>
    </row>
    <row r="84" spans="2:6" x14ac:dyDescent="0.2">
      <c r="B84" s="35"/>
      <c r="C84" s="1" t="s">
        <v>80</v>
      </c>
      <c r="D84" s="57"/>
      <c r="E84" s="2">
        <v>3800</v>
      </c>
      <c r="F84" s="8">
        <f>(B84-D84) *E84</f>
        <v>0</v>
      </c>
    </row>
    <row r="85" spans="2:6" x14ac:dyDescent="0.2">
      <c r="B85" s="35"/>
      <c r="C85" s="1" t="s">
        <v>16</v>
      </c>
      <c r="D85" s="57"/>
      <c r="E85" s="2">
        <v>9300</v>
      </c>
      <c r="F85" s="8">
        <f>(B85-D85) *E85</f>
        <v>0</v>
      </c>
    </row>
    <row r="86" spans="2:6" x14ac:dyDescent="0.2">
      <c r="B86" s="35"/>
      <c r="C86" s="1" t="s">
        <v>78</v>
      </c>
      <c r="D86" s="57"/>
      <c r="E86" s="2">
        <v>4800</v>
      </c>
      <c r="F86" s="8">
        <f>(B86-D86) *E86</f>
        <v>0</v>
      </c>
    </row>
    <row r="87" spans="2:6" x14ac:dyDescent="0.2">
      <c r="B87" s="35"/>
      <c r="C87" s="1" t="s">
        <v>79</v>
      </c>
      <c r="D87" s="57"/>
      <c r="E87" s="2">
        <v>222000</v>
      </c>
      <c r="F87" s="8">
        <f>(B87-D87) *E87</f>
        <v>0</v>
      </c>
    </row>
    <row r="88" spans="2:6" x14ac:dyDescent="0.2">
      <c r="B88" s="35"/>
      <c r="C88" s="1" t="s">
        <v>17</v>
      </c>
      <c r="D88" s="57"/>
      <c r="E88" s="2">
        <v>17000</v>
      </c>
      <c r="F88" s="8">
        <f>(B88-D88) *E88</f>
        <v>0</v>
      </c>
    </row>
    <row r="89" spans="2:6" x14ac:dyDescent="0.2">
      <c r="B89" s="35"/>
      <c r="C89" s="1" t="s">
        <v>105</v>
      </c>
      <c r="D89" s="57"/>
      <c r="E89" s="2">
        <v>75000</v>
      </c>
      <c r="F89" s="8">
        <f t="shared" ref="F89:F109" si="9">(B89-D89) *E89</f>
        <v>0</v>
      </c>
    </row>
    <row r="90" spans="2:6" x14ac:dyDescent="0.2">
      <c r="B90" s="35"/>
      <c r="C90" s="1" t="s">
        <v>106</v>
      </c>
      <c r="D90" s="57"/>
      <c r="E90" s="2">
        <v>5000</v>
      </c>
      <c r="F90" s="8">
        <f t="shared" si="9"/>
        <v>0</v>
      </c>
    </row>
    <row r="91" spans="2:6" x14ac:dyDescent="0.2">
      <c r="B91" s="35"/>
      <c r="C91" s="1" t="s">
        <v>71</v>
      </c>
      <c r="D91" s="57"/>
      <c r="E91" s="2">
        <v>56000</v>
      </c>
      <c r="F91" s="8">
        <f t="shared" si="9"/>
        <v>0</v>
      </c>
    </row>
    <row r="92" spans="2:6" x14ac:dyDescent="0.2">
      <c r="B92" s="35"/>
      <c r="C92" s="1" t="s">
        <v>103</v>
      </c>
      <c r="D92" s="57"/>
      <c r="E92" s="2">
        <v>9000</v>
      </c>
      <c r="F92" s="8">
        <f t="shared" si="9"/>
        <v>0</v>
      </c>
    </row>
    <row r="93" spans="2:6" x14ac:dyDescent="0.2">
      <c r="B93" s="35"/>
      <c r="C93" s="1" t="s">
        <v>72</v>
      </c>
      <c r="D93" s="57"/>
      <c r="E93" s="2">
        <v>3800</v>
      </c>
      <c r="F93" s="8">
        <f t="shared" si="9"/>
        <v>0</v>
      </c>
    </row>
    <row r="94" spans="2:6" x14ac:dyDescent="0.2">
      <c r="B94" s="35"/>
      <c r="C94" s="1" t="s">
        <v>98</v>
      </c>
      <c r="D94" s="57"/>
      <c r="E94" s="2">
        <v>4700</v>
      </c>
      <c r="F94" s="8">
        <f t="shared" si="9"/>
        <v>0</v>
      </c>
    </row>
    <row r="95" spans="2:6" x14ac:dyDescent="0.2">
      <c r="B95" s="35"/>
      <c r="C95" s="1" t="s">
        <v>77</v>
      </c>
      <c r="D95" s="57"/>
      <c r="E95" s="2">
        <v>9250</v>
      </c>
      <c r="F95" s="8">
        <f t="shared" si="9"/>
        <v>0</v>
      </c>
    </row>
    <row r="96" spans="2:6" x14ac:dyDescent="0.2">
      <c r="B96" s="35"/>
      <c r="C96" s="1" t="s">
        <v>84</v>
      </c>
      <c r="D96" s="57"/>
      <c r="E96" s="2">
        <v>8500</v>
      </c>
      <c r="F96" s="8">
        <f t="shared" si="9"/>
        <v>0</v>
      </c>
    </row>
    <row r="97" spans="2:6" x14ac:dyDescent="0.2">
      <c r="B97" s="35"/>
      <c r="C97" s="1" t="s">
        <v>73</v>
      </c>
      <c r="D97" s="57"/>
      <c r="E97" s="2">
        <v>8650</v>
      </c>
      <c r="F97" s="8">
        <f t="shared" si="9"/>
        <v>0</v>
      </c>
    </row>
    <row r="98" spans="2:6" x14ac:dyDescent="0.2">
      <c r="B98" s="72"/>
      <c r="C98" s="1" t="s">
        <v>76</v>
      </c>
      <c r="D98" s="71"/>
      <c r="E98" s="2">
        <v>9250</v>
      </c>
      <c r="F98" s="8">
        <f t="shared" si="9"/>
        <v>0</v>
      </c>
    </row>
    <row r="99" spans="2:6" x14ac:dyDescent="0.2">
      <c r="B99" s="72"/>
      <c r="C99" s="1" t="s">
        <v>74</v>
      </c>
      <c r="D99" s="71"/>
      <c r="E99" s="2">
        <v>3800</v>
      </c>
      <c r="F99" s="8">
        <f t="shared" si="9"/>
        <v>0</v>
      </c>
    </row>
    <row r="100" spans="2:6" x14ac:dyDescent="0.2">
      <c r="B100" s="72"/>
      <c r="C100" s="1" t="s">
        <v>85</v>
      </c>
      <c r="D100" s="71"/>
      <c r="E100" s="2">
        <v>3700</v>
      </c>
      <c r="F100" s="8">
        <f t="shared" si="9"/>
        <v>0</v>
      </c>
    </row>
    <row r="101" spans="2:6" x14ac:dyDescent="0.2">
      <c r="B101" s="72"/>
      <c r="C101" s="1" t="s">
        <v>99</v>
      </c>
      <c r="D101" s="71"/>
      <c r="E101" s="2">
        <v>216000</v>
      </c>
      <c r="F101" s="8">
        <f t="shared" si="9"/>
        <v>0</v>
      </c>
    </row>
    <row r="102" spans="2:6" x14ac:dyDescent="0.2">
      <c r="B102" s="72"/>
      <c r="C102" s="1" t="s">
        <v>108</v>
      </c>
      <c r="D102" s="71"/>
      <c r="E102" s="2">
        <v>9000</v>
      </c>
      <c r="F102" s="8">
        <f t="shared" si="9"/>
        <v>0</v>
      </c>
    </row>
    <row r="103" spans="2:6" x14ac:dyDescent="0.2">
      <c r="B103" s="35"/>
      <c r="C103" s="1" t="s">
        <v>104</v>
      </c>
      <c r="D103" s="57"/>
      <c r="E103" s="2"/>
      <c r="F103" s="8">
        <f t="shared" si="9"/>
        <v>0</v>
      </c>
    </row>
    <row r="104" spans="2:6" x14ac:dyDescent="0.2">
      <c r="B104" s="35"/>
      <c r="C104" s="1" t="s">
        <v>107</v>
      </c>
      <c r="D104" s="57"/>
      <c r="E104" s="2"/>
      <c r="F104" s="8">
        <f t="shared" si="9"/>
        <v>0</v>
      </c>
    </row>
    <row r="105" spans="2:6" x14ac:dyDescent="0.2">
      <c r="B105" s="35"/>
      <c r="C105" s="1"/>
      <c r="D105" s="57"/>
      <c r="E105" s="2"/>
      <c r="F105" s="8">
        <f t="shared" si="9"/>
        <v>0</v>
      </c>
    </row>
    <row r="106" spans="2:6" x14ac:dyDescent="0.2">
      <c r="B106" s="35"/>
      <c r="C106" s="1"/>
      <c r="D106" s="57"/>
      <c r="E106" s="2"/>
      <c r="F106" s="8">
        <f t="shared" si="9"/>
        <v>0</v>
      </c>
    </row>
    <row r="107" spans="2:6" x14ac:dyDescent="0.2">
      <c r="B107" s="35"/>
      <c r="C107" s="1"/>
      <c r="D107" s="57"/>
      <c r="E107" s="2"/>
      <c r="F107" s="8">
        <f t="shared" si="9"/>
        <v>0</v>
      </c>
    </row>
    <row r="108" spans="2:6" x14ac:dyDescent="0.2">
      <c r="B108" s="35"/>
      <c r="C108" s="1"/>
      <c r="D108" s="57"/>
      <c r="E108" s="2"/>
      <c r="F108" s="8">
        <f t="shared" si="9"/>
        <v>0</v>
      </c>
    </row>
    <row r="109" spans="2:6" x14ac:dyDescent="0.2">
      <c r="B109" s="9"/>
      <c r="C109" s="68"/>
      <c r="D109" s="57"/>
      <c r="E109" s="1"/>
      <c r="F109" s="8">
        <f t="shared" si="9"/>
        <v>0</v>
      </c>
    </row>
    <row r="110" spans="2:6" ht="15.75" thickBot="1" x14ac:dyDescent="0.25">
      <c r="B110" s="128" t="s">
        <v>12</v>
      </c>
      <c r="C110" s="129"/>
      <c r="D110" s="129"/>
      <c r="E110" s="130"/>
      <c r="F110" s="45">
        <f>SUM(F84:F109)</f>
        <v>0</v>
      </c>
    </row>
    <row r="111" spans="2:6" x14ac:dyDescent="0.2">
      <c r="B111" s="131" t="s">
        <v>8</v>
      </c>
      <c r="C111" s="132"/>
      <c r="D111" s="132"/>
      <c r="E111" s="133"/>
      <c r="F111" s="17">
        <v>120000</v>
      </c>
    </row>
    <row r="112" spans="2:6" x14ac:dyDescent="0.2">
      <c r="B112" s="134" t="s">
        <v>9</v>
      </c>
      <c r="C112" s="135"/>
      <c r="D112" s="135"/>
      <c r="E112" s="92"/>
      <c r="F112" s="46">
        <f>F110+F111</f>
        <v>120000</v>
      </c>
    </row>
    <row r="113" spans="1:6" x14ac:dyDescent="0.2">
      <c r="B113" s="134" t="s">
        <v>69</v>
      </c>
      <c r="C113" s="135"/>
      <c r="D113" s="135"/>
      <c r="E113" s="92"/>
      <c r="F113" s="8">
        <v>0</v>
      </c>
    </row>
    <row r="114" spans="1:6" ht="15.75" thickBot="1" x14ac:dyDescent="0.25">
      <c r="B114" s="98" t="s">
        <v>11</v>
      </c>
      <c r="C114" s="99"/>
      <c r="D114" s="99"/>
      <c r="E114" s="100"/>
      <c r="F114" s="47">
        <f>F113-F112</f>
        <v>-120000</v>
      </c>
    </row>
    <row r="115" spans="1:6" ht="15.75" thickBot="1" x14ac:dyDescent="0.25"/>
    <row r="116" spans="1:6" x14ac:dyDescent="0.2">
      <c r="B116" s="6" t="s">
        <v>2</v>
      </c>
      <c r="C116" s="138" t="str">
        <f>E2</f>
        <v>Oktober Rabu 21 2026</v>
      </c>
      <c r="D116" s="139"/>
      <c r="E116" s="139"/>
      <c r="F116" s="140"/>
    </row>
    <row r="117" spans="1:6" x14ac:dyDescent="0.2">
      <c r="A117" s="31" t="s">
        <v>30</v>
      </c>
      <c r="B117" s="7" t="s">
        <v>0</v>
      </c>
      <c r="C117" s="124" t="s">
        <v>53</v>
      </c>
      <c r="D117" s="124"/>
      <c r="E117" s="124"/>
      <c r="F117" s="125"/>
    </row>
    <row r="118" spans="1:6" x14ac:dyDescent="0.2">
      <c r="B118" s="7" t="s">
        <v>1</v>
      </c>
      <c r="C118" s="124" t="s">
        <v>52</v>
      </c>
      <c r="D118" s="124"/>
      <c r="E118" s="124"/>
      <c r="F118" s="125"/>
    </row>
    <row r="119" spans="1:6" ht="15.75" thickBot="1" x14ac:dyDescent="0.25">
      <c r="B119" s="7"/>
      <c r="C119" s="126"/>
      <c r="D119" s="126"/>
      <c r="E119" s="126"/>
      <c r="F119" s="127"/>
    </row>
    <row r="120" spans="1:6" x14ac:dyDescent="0.2">
      <c r="B120" s="3" t="s">
        <v>3</v>
      </c>
      <c r="C120" s="4" t="s">
        <v>4</v>
      </c>
      <c r="D120" s="4" t="s">
        <v>5</v>
      </c>
      <c r="E120" s="4" t="s">
        <v>7</v>
      </c>
      <c r="F120" s="5" t="s">
        <v>6</v>
      </c>
    </row>
    <row r="121" spans="1:6" x14ac:dyDescent="0.2">
      <c r="B121" s="19">
        <v>5</v>
      </c>
      <c r="C121" s="1" t="s">
        <v>80</v>
      </c>
      <c r="D121" s="57"/>
      <c r="E121" s="2">
        <v>3800</v>
      </c>
      <c r="F121" s="8">
        <f>(B121-D121) *E121</f>
        <v>19000</v>
      </c>
    </row>
    <row r="122" spans="1:6" x14ac:dyDescent="0.2">
      <c r="B122" s="19"/>
      <c r="C122" s="1" t="s">
        <v>16</v>
      </c>
      <c r="D122" s="57"/>
      <c r="E122" s="2">
        <v>9300</v>
      </c>
      <c r="F122" s="8">
        <f>(B122-D122) *E122</f>
        <v>0</v>
      </c>
    </row>
    <row r="123" spans="1:6" x14ac:dyDescent="0.2">
      <c r="B123" s="19">
        <v>5</v>
      </c>
      <c r="C123" s="1" t="s">
        <v>78</v>
      </c>
      <c r="D123" s="57"/>
      <c r="E123" s="2">
        <v>4800</v>
      </c>
      <c r="F123" s="8">
        <f>(B123-D123) *E123</f>
        <v>24000</v>
      </c>
    </row>
    <row r="124" spans="1:6" x14ac:dyDescent="0.2">
      <c r="B124" s="19"/>
      <c r="C124" s="1" t="s">
        <v>79</v>
      </c>
      <c r="D124" s="57"/>
      <c r="E124" s="2">
        <v>222000</v>
      </c>
      <c r="F124" s="8">
        <f>(B124-D124) *E124</f>
        <v>0</v>
      </c>
    </row>
    <row r="125" spans="1:6" x14ac:dyDescent="0.2">
      <c r="B125" s="19"/>
      <c r="C125" s="1" t="s">
        <v>17</v>
      </c>
      <c r="D125" s="57"/>
      <c r="E125" s="2">
        <v>17000</v>
      </c>
      <c r="F125" s="8">
        <f>(B125-D125) *E125</f>
        <v>0</v>
      </c>
    </row>
    <row r="126" spans="1:6" x14ac:dyDescent="0.2">
      <c r="B126" s="19"/>
      <c r="C126" s="1" t="s">
        <v>105</v>
      </c>
      <c r="D126" s="57"/>
      <c r="E126" s="2">
        <v>75000</v>
      </c>
      <c r="F126" s="8">
        <f t="shared" ref="F126:F146" si="10">(B126-D126) *E126</f>
        <v>0</v>
      </c>
    </row>
    <row r="127" spans="1:6" x14ac:dyDescent="0.2">
      <c r="B127" s="19"/>
      <c r="C127" s="1" t="s">
        <v>106</v>
      </c>
      <c r="D127" s="57"/>
      <c r="E127" s="2">
        <v>5000</v>
      </c>
      <c r="F127" s="8">
        <f t="shared" si="10"/>
        <v>0</v>
      </c>
    </row>
    <row r="128" spans="1:6" x14ac:dyDescent="0.2">
      <c r="B128" s="19"/>
      <c r="C128" s="1" t="s">
        <v>71</v>
      </c>
      <c r="D128" s="57"/>
      <c r="E128" s="2">
        <v>56000</v>
      </c>
      <c r="F128" s="8">
        <f t="shared" si="10"/>
        <v>0</v>
      </c>
    </row>
    <row r="129" spans="2:39" x14ac:dyDescent="0.2">
      <c r="B129" s="35"/>
      <c r="C129" s="1" t="s">
        <v>103</v>
      </c>
      <c r="D129" s="57"/>
      <c r="E129" s="2">
        <v>9000</v>
      </c>
      <c r="F129" s="8">
        <f t="shared" si="10"/>
        <v>0</v>
      </c>
    </row>
    <row r="130" spans="2:39" x14ac:dyDescent="0.2">
      <c r="B130" s="35"/>
      <c r="C130" s="1" t="s">
        <v>72</v>
      </c>
      <c r="D130" s="57"/>
      <c r="E130" s="2">
        <v>3800</v>
      </c>
      <c r="F130" s="8">
        <f t="shared" si="10"/>
        <v>0</v>
      </c>
    </row>
    <row r="131" spans="2:39" x14ac:dyDescent="0.2">
      <c r="B131" s="35"/>
      <c r="C131" s="1" t="s">
        <v>98</v>
      </c>
      <c r="D131" s="57"/>
      <c r="E131" s="2">
        <v>4700</v>
      </c>
      <c r="F131" s="8">
        <f t="shared" si="10"/>
        <v>0</v>
      </c>
    </row>
    <row r="132" spans="2:39" x14ac:dyDescent="0.2">
      <c r="B132" s="35"/>
      <c r="C132" s="1" t="s">
        <v>77</v>
      </c>
      <c r="D132" s="57"/>
      <c r="E132" s="2">
        <v>9250</v>
      </c>
      <c r="F132" s="8">
        <f t="shared" si="10"/>
        <v>0</v>
      </c>
      <c r="AM132">
        <v>5</v>
      </c>
    </row>
    <row r="133" spans="2:39" x14ac:dyDescent="0.2">
      <c r="B133" s="35"/>
      <c r="C133" s="1" t="s">
        <v>84</v>
      </c>
      <c r="D133" s="57"/>
      <c r="E133" s="2">
        <v>8500</v>
      </c>
      <c r="F133" s="8">
        <f t="shared" si="10"/>
        <v>0</v>
      </c>
    </row>
    <row r="134" spans="2:39" x14ac:dyDescent="0.2">
      <c r="B134" s="35"/>
      <c r="C134" s="1" t="s">
        <v>73</v>
      </c>
      <c r="D134" s="57"/>
      <c r="E134" s="2">
        <v>8650</v>
      </c>
      <c r="F134" s="8">
        <f t="shared" si="10"/>
        <v>0</v>
      </c>
    </row>
    <row r="135" spans="2:39" x14ac:dyDescent="0.2">
      <c r="B135" s="35"/>
      <c r="C135" s="1" t="s">
        <v>76</v>
      </c>
      <c r="D135" s="57"/>
      <c r="E135" s="2">
        <v>9250</v>
      </c>
      <c r="F135" s="8">
        <f t="shared" si="10"/>
        <v>0</v>
      </c>
    </row>
    <row r="136" spans="2:39" x14ac:dyDescent="0.2">
      <c r="B136" s="35"/>
      <c r="C136" s="1" t="s">
        <v>74</v>
      </c>
      <c r="D136" s="57"/>
      <c r="E136" s="2">
        <v>3800</v>
      </c>
      <c r="F136" s="8">
        <f t="shared" si="10"/>
        <v>0</v>
      </c>
    </row>
    <row r="137" spans="2:39" x14ac:dyDescent="0.2">
      <c r="B137" s="72"/>
      <c r="C137" s="1" t="s">
        <v>85</v>
      </c>
      <c r="D137" s="71"/>
      <c r="E137" s="2">
        <v>3700</v>
      </c>
      <c r="F137" s="8">
        <f t="shared" si="10"/>
        <v>0</v>
      </c>
    </row>
    <row r="138" spans="2:39" x14ac:dyDescent="0.2">
      <c r="B138" s="72"/>
      <c r="C138" s="1" t="s">
        <v>99</v>
      </c>
      <c r="D138" s="71"/>
      <c r="E138" s="2">
        <v>216000</v>
      </c>
      <c r="F138" s="8">
        <f t="shared" si="10"/>
        <v>0</v>
      </c>
    </row>
    <row r="139" spans="2:39" x14ac:dyDescent="0.2">
      <c r="B139" s="72"/>
      <c r="C139" s="1" t="s">
        <v>108</v>
      </c>
      <c r="D139" s="71"/>
      <c r="E139" s="2">
        <v>9000</v>
      </c>
      <c r="F139" s="8">
        <f t="shared" si="10"/>
        <v>0</v>
      </c>
    </row>
    <row r="140" spans="2:39" x14ac:dyDescent="0.2">
      <c r="B140" s="35"/>
      <c r="C140" s="1" t="s">
        <v>104</v>
      </c>
      <c r="D140" s="57"/>
      <c r="E140" s="2"/>
      <c r="F140" s="8">
        <f t="shared" si="10"/>
        <v>0</v>
      </c>
    </row>
    <row r="141" spans="2:39" x14ac:dyDescent="0.2">
      <c r="B141" s="35"/>
      <c r="C141" s="1" t="s">
        <v>107</v>
      </c>
      <c r="D141" s="57"/>
      <c r="E141" s="2"/>
      <c r="F141" s="8">
        <f t="shared" si="10"/>
        <v>0</v>
      </c>
    </row>
    <row r="142" spans="2:39" x14ac:dyDescent="0.2">
      <c r="B142" s="35"/>
      <c r="C142" s="1"/>
      <c r="D142" s="57"/>
      <c r="E142" s="2"/>
      <c r="F142" s="8">
        <f t="shared" si="10"/>
        <v>0</v>
      </c>
    </row>
    <row r="143" spans="2:39" x14ac:dyDescent="0.2">
      <c r="B143" s="35"/>
      <c r="C143" s="1"/>
      <c r="D143" s="57"/>
      <c r="E143" s="2"/>
      <c r="F143" s="8">
        <f t="shared" si="10"/>
        <v>0</v>
      </c>
    </row>
    <row r="144" spans="2:39" x14ac:dyDescent="0.2">
      <c r="B144" s="35"/>
      <c r="C144" s="1"/>
      <c r="D144" s="57"/>
      <c r="E144" s="2"/>
      <c r="F144" s="8">
        <f t="shared" si="10"/>
        <v>0</v>
      </c>
    </row>
    <row r="145" spans="1:6" x14ac:dyDescent="0.2">
      <c r="B145" s="35"/>
      <c r="C145" s="1"/>
      <c r="D145" s="57"/>
      <c r="E145" s="2"/>
      <c r="F145" s="8">
        <f t="shared" si="10"/>
        <v>0</v>
      </c>
    </row>
    <row r="146" spans="1:6" x14ac:dyDescent="0.2">
      <c r="B146" s="9"/>
      <c r="C146" s="68"/>
      <c r="D146" s="57"/>
      <c r="E146" s="1"/>
      <c r="F146" s="8">
        <f t="shared" si="10"/>
        <v>0</v>
      </c>
    </row>
    <row r="147" spans="1:6" ht="15.75" thickBot="1" x14ac:dyDescent="0.25">
      <c r="B147" s="128" t="s">
        <v>12</v>
      </c>
      <c r="C147" s="129"/>
      <c r="D147" s="129"/>
      <c r="E147" s="130"/>
      <c r="F147" s="45">
        <f>SUM(F121:F146)</f>
        <v>43000</v>
      </c>
    </row>
    <row r="148" spans="1:6" x14ac:dyDescent="0.2">
      <c r="B148" s="131" t="s">
        <v>8</v>
      </c>
      <c r="C148" s="132"/>
      <c r="D148" s="132"/>
      <c r="E148" s="133"/>
      <c r="F148" s="17">
        <v>203000</v>
      </c>
    </row>
    <row r="149" spans="1:6" x14ac:dyDescent="0.2">
      <c r="B149" s="134" t="s">
        <v>9</v>
      </c>
      <c r="C149" s="135"/>
      <c r="D149" s="135"/>
      <c r="E149" s="92"/>
      <c r="F149" s="46">
        <f>F147+F148</f>
        <v>246000</v>
      </c>
    </row>
    <row r="150" spans="1:6" x14ac:dyDescent="0.2">
      <c r="B150" s="134" t="s">
        <v>10</v>
      </c>
      <c r="C150" s="135"/>
      <c r="D150" s="135"/>
      <c r="E150" s="92"/>
      <c r="F150" s="8">
        <v>203000</v>
      </c>
    </row>
    <row r="151" spans="1:6" ht="15.75" thickBot="1" x14ac:dyDescent="0.25">
      <c r="B151" s="98" t="s">
        <v>11</v>
      </c>
      <c r="C151" s="99"/>
      <c r="D151" s="99"/>
      <c r="E151" s="100"/>
      <c r="F151" s="47">
        <f>F150-F149</f>
        <v>-43000</v>
      </c>
    </row>
    <row r="152" spans="1:6" ht="15.75" thickBot="1" x14ac:dyDescent="0.25">
      <c r="F152" s="8"/>
    </row>
    <row r="153" spans="1:6" x14ac:dyDescent="0.2">
      <c r="B153" s="6" t="s">
        <v>2</v>
      </c>
      <c r="C153" s="138" t="str">
        <f>E2</f>
        <v>Oktober Rabu 21 2026</v>
      </c>
      <c r="D153" s="139"/>
      <c r="E153" s="139"/>
      <c r="F153" s="140"/>
    </row>
    <row r="154" spans="1:6" x14ac:dyDescent="0.2">
      <c r="A154" s="31" t="s">
        <v>95</v>
      </c>
      <c r="B154" s="7"/>
      <c r="C154" s="124" t="s">
        <v>54</v>
      </c>
      <c r="D154" s="124"/>
      <c r="E154" s="124"/>
      <c r="F154" s="125"/>
    </row>
    <row r="155" spans="1:6" x14ac:dyDescent="0.2">
      <c r="B155" s="7" t="s">
        <v>1</v>
      </c>
      <c r="C155" s="124" t="s">
        <v>52</v>
      </c>
      <c r="D155" s="124"/>
      <c r="E155" s="124"/>
      <c r="F155" s="125"/>
    </row>
    <row r="156" spans="1:6" ht="15.75" thickBot="1" x14ac:dyDescent="0.25">
      <c r="B156" s="7"/>
      <c r="C156" s="126"/>
      <c r="D156" s="126"/>
      <c r="E156" s="126"/>
      <c r="F156" s="127"/>
    </row>
    <row r="157" spans="1:6" x14ac:dyDescent="0.2">
      <c r="B157" s="3" t="s">
        <v>3</v>
      </c>
      <c r="C157" s="4" t="s">
        <v>4</v>
      </c>
      <c r="D157" s="4" t="s">
        <v>5</v>
      </c>
      <c r="E157" s="4" t="s">
        <v>7</v>
      </c>
      <c r="F157" s="5" t="s">
        <v>6</v>
      </c>
    </row>
    <row r="158" spans="1:6" x14ac:dyDescent="0.2">
      <c r="B158" s="19">
        <v>25</v>
      </c>
      <c r="C158" s="1" t="s">
        <v>80</v>
      </c>
      <c r="D158" s="57"/>
      <c r="E158" s="2">
        <v>3800</v>
      </c>
      <c r="F158" s="8">
        <f>(B158-D158) *E158</f>
        <v>95000</v>
      </c>
    </row>
    <row r="159" spans="1:6" x14ac:dyDescent="0.2">
      <c r="B159" s="19"/>
      <c r="C159" s="1" t="s">
        <v>16</v>
      </c>
      <c r="D159" s="57"/>
      <c r="E159" s="2">
        <v>9300</v>
      </c>
      <c r="F159" s="8">
        <f>(B159-D159) *E159</f>
        <v>0</v>
      </c>
    </row>
    <row r="160" spans="1:6" x14ac:dyDescent="0.2">
      <c r="B160" s="19">
        <v>25</v>
      </c>
      <c r="C160" s="1" t="s">
        <v>78</v>
      </c>
      <c r="D160" s="57"/>
      <c r="E160" s="2">
        <v>4800</v>
      </c>
      <c r="F160" s="8">
        <f>(B160-D160) *E160</f>
        <v>120000</v>
      </c>
    </row>
    <row r="161" spans="2:44" x14ac:dyDescent="0.2">
      <c r="B161" s="19"/>
      <c r="C161" s="1" t="s">
        <v>79</v>
      </c>
      <c r="D161" s="57"/>
      <c r="E161" s="2">
        <v>9375</v>
      </c>
      <c r="F161" s="8">
        <f>(B161-D161) *E161</f>
        <v>0</v>
      </c>
    </row>
    <row r="162" spans="2:44" x14ac:dyDescent="0.2">
      <c r="B162" s="19"/>
      <c r="C162" s="1" t="s">
        <v>17</v>
      </c>
      <c r="D162" s="57"/>
      <c r="E162" s="2">
        <v>17000</v>
      </c>
      <c r="F162" s="8">
        <f>(B162-D162) *E162</f>
        <v>0</v>
      </c>
    </row>
    <row r="163" spans="2:44" x14ac:dyDescent="0.2">
      <c r="B163" s="35"/>
      <c r="C163" s="1" t="s">
        <v>105</v>
      </c>
      <c r="D163" s="57"/>
      <c r="E163" s="2">
        <v>75000</v>
      </c>
      <c r="F163" s="8">
        <f t="shared" ref="F163:F183" si="11">(B163-D163) *E163</f>
        <v>0</v>
      </c>
    </row>
    <row r="164" spans="2:44" x14ac:dyDescent="0.2">
      <c r="B164" s="35"/>
      <c r="C164" s="1" t="s">
        <v>106</v>
      </c>
      <c r="D164" s="57"/>
      <c r="E164" s="2">
        <v>5000</v>
      </c>
      <c r="F164" s="8">
        <f t="shared" si="11"/>
        <v>0</v>
      </c>
    </row>
    <row r="165" spans="2:44" x14ac:dyDescent="0.2">
      <c r="B165" s="35"/>
      <c r="C165" s="1" t="s">
        <v>71</v>
      </c>
      <c r="D165" s="57"/>
      <c r="E165" s="2">
        <v>56000</v>
      </c>
      <c r="F165" s="8">
        <f t="shared" si="11"/>
        <v>0</v>
      </c>
    </row>
    <row r="166" spans="2:44" x14ac:dyDescent="0.2">
      <c r="B166" s="35"/>
      <c r="C166" s="1" t="s">
        <v>103</v>
      </c>
      <c r="D166" s="57"/>
      <c r="E166" s="2">
        <v>4500</v>
      </c>
      <c r="F166" s="8">
        <f t="shared" si="11"/>
        <v>0</v>
      </c>
    </row>
    <row r="167" spans="2:44" x14ac:dyDescent="0.2">
      <c r="B167" s="35"/>
      <c r="C167" s="1" t="s">
        <v>72</v>
      </c>
      <c r="D167" s="57"/>
      <c r="E167" s="2">
        <v>3800</v>
      </c>
      <c r="F167" s="8">
        <f t="shared" si="11"/>
        <v>0</v>
      </c>
    </row>
    <row r="168" spans="2:44" x14ac:dyDescent="0.2">
      <c r="B168" s="35"/>
      <c r="C168" s="1" t="s">
        <v>98</v>
      </c>
      <c r="D168" s="57"/>
      <c r="E168" s="2">
        <v>4700</v>
      </c>
      <c r="F168" s="8">
        <f t="shared" si="11"/>
        <v>0</v>
      </c>
    </row>
    <row r="169" spans="2:44" x14ac:dyDescent="0.2">
      <c r="B169" s="35"/>
      <c r="C169" s="1" t="s">
        <v>77</v>
      </c>
      <c r="D169" s="57"/>
      <c r="E169" s="2">
        <v>9250</v>
      </c>
      <c r="F169" s="8">
        <f t="shared" si="11"/>
        <v>0</v>
      </c>
    </row>
    <row r="170" spans="2:44" x14ac:dyDescent="0.2">
      <c r="B170" s="35"/>
      <c r="C170" s="1" t="s">
        <v>84</v>
      </c>
      <c r="D170" s="57"/>
      <c r="E170" s="2">
        <v>222000</v>
      </c>
      <c r="F170" s="8">
        <f t="shared" si="11"/>
        <v>0</v>
      </c>
    </row>
    <row r="171" spans="2:44" x14ac:dyDescent="0.2">
      <c r="B171" s="35"/>
      <c r="C171" s="1" t="s">
        <v>73</v>
      </c>
      <c r="D171" s="57"/>
      <c r="E171" s="2">
        <v>8650</v>
      </c>
      <c r="F171" s="8">
        <f t="shared" si="11"/>
        <v>0</v>
      </c>
    </row>
    <row r="172" spans="2:44" x14ac:dyDescent="0.2">
      <c r="B172" s="35"/>
      <c r="C172" s="1" t="s">
        <v>76</v>
      </c>
      <c r="D172" s="57"/>
      <c r="E172" s="2">
        <v>9250</v>
      </c>
      <c r="F172" s="8">
        <f t="shared" si="11"/>
        <v>0</v>
      </c>
    </row>
    <row r="173" spans="2:44" x14ac:dyDescent="0.2">
      <c r="B173" s="35"/>
      <c r="C173" s="1" t="s">
        <v>74</v>
      </c>
      <c r="D173" s="57"/>
      <c r="E173" s="2">
        <v>3800</v>
      </c>
      <c r="F173" s="8">
        <f t="shared" si="11"/>
        <v>0</v>
      </c>
    </row>
    <row r="174" spans="2:44" x14ac:dyDescent="0.2">
      <c r="B174" s="72"/>
      <c r="C174" s="1" t="s">
        <v>85</v>
      </c>
      <c r="D174" s="71"/>
      <c r="E174" s="2">
        <v>3700</v>
      </c>
      <c r="F174" s="8">
        <f t="shared" si="11"/>
        <v>0</v>
      </c>
    </row>
    <row r="175" spans="2:44" x14ac:dyDescent="0.2">
      <c r="B175" s="72"/>
      <c r="C175" s="1" t="s">
        <v>99</v>
      </c>
      <c r="D175" s="71"/>
      <c r="E175" s="2">
        <v>8600</v>
      </c>
      <c r="F175" s="8">
        <f t="shared" si="11"/>
        <v>0</v>
      </c>
      <c r="AR175">
        <v>84</v>
      </c>
    </row>
    <row r="176" spans="2:44" x14ac:dyDescent="0.2">
      <c r="B176" s="72"/>
      <c r="C176" s="1" t="s">
        <v>108</v>
      </c>
      <c r="D176" s="71"/>
      <c r="E176" s="2">
        <v>9000</v>
      </c>
      <c r="F176" s="8">
        <f t="shared" si="11"/>
        <v>0</v>
      </c>
    </row>
    <row r="177" spans="1:6" x14ac:dyDescent="0.2">
      <c r="B177" s="35"/>
      <c r="C177" s="1" t="s">
        <v>104</v>
      </c>
      <c r="D177" s="57"/>
      <c r="E177" s="2"/>
      <c r="F177" s="8">
        <f t="shared" si="11"/>
        <v>0</v>
      </c>
    </row>
    <row r="178" spans="1:6" x14ac:dyDescent="0.2">
      <c r="B178" s="35">
        <v>20</v>
      </c>
      <c r="C178" s="1" t="s">
        <v>107</v>
      </c>
      <c r="D178" s="57"/>
      <c r="E178" s="2">
        <v>3500</v>
      </c>
      <c r="F178" s="8">
        <f t="shared" si="11"/>
        <v>70000</v>
      </c>
    </row>
    <row r="179" spans="1:6" x14ac:dyDescent="0.2">
      <c r="B179" s="35"/>
      <c r="C179" s="1" t="s">
        <v>116</v>
      </c>
      <c r="D179" s="57"/>
      <c r="E179" s="2">
        <v>4000</v>
      </c>
      <c r="F179" s="8">
        <f t="shared" si="11"/>
        <v>0</v>
      </c>
    </row>
    <row r="180" spans="1:6" x14ac:dyDescent="0.2">
      <c r="B180" s="35"/>
      <c r="C180" s="1"/>
      <c r="D180" s="57"/>
      <c r="E180" s="2"/>
      <c r="F180" s="8">
        <f t="shared" si="11"/>
        <v>0</v>
      </c>
    </row>
    <row r="181" spans="1:6" x14ac:dyDescent="0.2">
      <c r="B181" s="35"/>
      <c r="C181" s="1"/>
      <c r="D181" s="57"/>
      <c r="E181" s="2"/>
      <c r="F181" s="8">
        <f t="shared" si="11"/>
        <v>0</v>
      </c>
    </row>
    <row r="182" spans="1:6" x14ac:dyDescent="0.2">
      <c r="B182" s="35"/>
      <c r="C182" s="1"/>
      <c r="D182" s="57"/>
      <c r="E182" s="2"/>
      <c r="F182" s="8">
        <f t="shared" si="11"/>
        <v>0</v>
      </c>
    </row>
    <row r="183" spans="1:6" x14ac:dyDescent="0.2">
      <c r="B183" s="9"/>
      <c r="C183" s="68" t="s">
        <v>116</v>
      </c>
      <c r="D183" s="57"/>
      <c r="E183" s="1">
        <v>4000</v>
      </c>
      <c r="F183" s="8">
        <f t="shared" si="11"/>
        <v>0</v>
      </c>
    </row>
    <row r="184" spans="1:6" ht="15.75" thickBot="1" x14ac:dyDescent="0.25">
      <c r="B184" s="128" t="s">
        <v>12</v>
      </c>
      <c r="C184" s="129"/>
      <c r="D184" s="129"/>
      <c r="E184" s="130"/>
      <c r="F184" s="45">
        <f>SUM(F158:F183)</f>
        <v>285000</v>
      </c>
    </row>
    <row r="185" spans="1:6" x14ac:dyDescent="0.2">
      <c r="B185" s="131" t="s">
        <v>8</v>
      </c>
      <c r="C185" s="132"/>
      <c r="D185" s="132"/>
      <c r="E185" s="133"/>
      <c r="F185" s="17">
        <v>296000</v>
      </c>
    </row>
    <row r="186" spans="1:6" x14ac:dyDescent="0.2">
      <c r="B186" s="134" t="s">
        <v>9</v>
      </c>
      <c r="C186" s="135"/>
      <c r="D186" s="135"/>
      <c r="E186" s="92"/>
      <c r="F186" s="46">
        <f>F184+F185</f>
        <v>581000</v>
      </c>
    </row>
    <row r="187" spans="1:6" x14ac:dyDescent="0.2">
      <c r="B187" s="134" t="s">
        <v>10</v>
      </c>
      <c r="C187" s="135"/>
      <c r="D187" s="135"/>
      <c r="E187" s="92"/>
      <c r="F187" s="8">
        <v>581000</v>
      </c>
    </row>
    <row r="188" spans="1:6" ht="15.75" thickBot="1" x14ac:dyDescent="0.25">
      <c r="B188" s="98" t="s">
        <v>11</v>
      </c>
      <c r="C188" s="99"/>
      <c r="D188" s="99"/>
      <c r="E188" s="100"/>
      <c r="F188" s="47">
        <f>F187-F186</f>
        <v>0</v>
      </c>
    </row>
    <row r="189" spans="1:6" ht="15.75" thickBot="1" x14ac:dyDescent="0.25"/>
    <row r="190" spans="1:6" x14ac:dyDescent="0.2">
      <c r="B190" s="6" t="s">
        <v>2</v>
      </c>
      <c r="C190" s="138" t="str">
        <f>E2</f>
        <v>Oktober Rabu 21 2026</v>
      </c>
      <c r="D190" s="139"/>
      <c r="E190" s="139"/>
      <c r="F190" s="140"/>
    </row>
    <row r="191" spans="1:6" x14ac:dyDescent="0.2">
      <c r="A191" s="31" t="s">
        <v>31</v>
      </c>
      <c r="B191" s="7" t="s">
        <v>0</v>
      </c>
      <c r="C191" s="124" t="s">
        <v>68</v>
      </c>
      <c r="D191" s="124"/>
      <c r="E191" s="124"/>
      <c r="F191" s="125"/>
    </row>
    <row r="192" spans="1:6" x14ac:dyDescent="0.2">
      <c r="B192" s="7" t="s">
        <v>1</v>
      </c>
      <c r="C192" s="124" t="s">
        <v>52</v>
      </c>
      <c r="D192" s="124"/>
      <c r="E192" s="124"/>
      <c r="F192" s="125"/>
    </row>
    <row r="193" spans="2:47" ht="15.75" thickBot="1" x14ac:dyDescent="0.25">
      <c r="B193" s="7"/>
      <c r="C193" s="126"/>
      <c r="D193" s="126"/>
      <c r="E193" s="126"/>
      <c r="F193" s="127"/>
    </row>
    <row r="194" spans="2:47" x14ac:dyDescent="0.2">
      <c r="B194" s="3" t="s">
        <v>3</v>
      </c>
      <c r="C194" s="4" t="s">
        <v>4</v>
      </c>
      <c r="D194" s="4" t="s">
        <v>5</v>
      </c>
      <c r="E194" s="4" t="s">
        <v>7</v>
      </c>
      <c r="F194" s="5" t="s">
        <v>6</v>
      </c>
    </row>
    <row r="195" spans="2:47" x14ac:dyDescent="0.2">
      <c r="B195" s="35">
        <v>100</v>
      </c>
      <c r="C195" s="1" t="s">
        <v>80</v>
      </c>
      <c r="D195" s="57"/>
      <c r="E195" s="2">
        <v>3800</v>
      </c>
      <c r="F195" s="8">
        <f>(B195-D195) *E195</f>
        <v>380000</v>
      </c>
    </row>
    <row r="196" spans="2:47" x14ac:dyDescent="0.2">
      <c r="B196" s="35">
        <v>15</v>
      </c>
      <c r="C196" s="1" t="s">
        <v>16</v>
      </c>
      <c r="D196" s="57"/>
      <c r="E196" s="2">
        <v>9300</v>
      </c>
      <c r="F196" s="8">
        <f>(B196-D196) *E196</f>
        <v>139500</v>
      </c>
    </row>
    <row r="197" spans="2:47" x14ac:dyDescent="0.2">
      <c r="B197" s="35">
        <v>100</v>
      </c>
      <c r="C197" s="1" t="s">
        <v>78</v>
      </c>
      <c r="D197" s="57"/>
      <c r="E197" s="2">
        <v>4800</v>
      </c>
      <c r="F197" s="8">
        <f>(B197-D197) *E197</f>
        <v>480000</v>
      </c>
    </row>
    <row r="198" spans="2:47" x14ac:dyDescent="0.2">
      <c r="B198" s="35"/>
      <c r="C198" s="1" t="s">
        <v>79</v>
      </c>
      <c r="D198" s="57"/>
      <c r="E198" s="2">
        <v>9375</v>
      </c>
      <c r="F198" s="8">
        <f>(B198-D198) *E198</f>
        <v>0</v>
      </c>
    </row>
    <row r="199" spans="2:47" x14ac:dyDescent="0.2">
      <c r="B199" s="35">
        <v>10</v>
      </c>
      <c r="C199" s="1" t="s">
        <v>17</v>
      </c>
      <c r="D199" s="57"/>
      <c r="E199" s="2">
        <v>17000</v>
      </c>
      <c r="F199" s="8">
        <f>(B199-D199) *E199</f>
        <v>170000</v>
      </c>
    </row>
    <row r="200" spans="2:47" x14ac:dyDescent="0.2">
      <c r="B200" s="35"/>
      <c r="C200" s="1" t="s">
        <v>105</v>
      </c>
      <c r="D200" s="57"/>
      <c r="E200" s="2">
        <v>75000</v>
      </c>
      <c r="F200" s="8">
        <f t="shared" ref="F200:F220" si="12">(B200-D200) *E200</f>
        <v>0</v>
      </c>
    </row>
    <row r="201" spans="2:47" x14ac:dyDescent="0.2">
      <c r="B201" s="35"/>
      <c r="C201" s="1" t="s">
        <v>106</v>
      </c>
      <c r="D201" s="57"/>
      <c r="E201" s="2">
        <v>8700</v>
      </c>
      <c r="F201" s="8">
        <f t="shared" si="12"/>
        <v>0</v>
      </c>
    </row>
    <row r="202" spans="2:47" x14ac:dyDescent="0.2">
      <c r="B202" s="35">
        <v>3</v>
      </c>
      <c r="C202" s="1" t="s">
        <v>71</v>
      </c>
      <c r="D202" s="57"/>
      <c r="E202" s="2">
        <v>56000</v>
      </c>
      <c r="F202" s="8">
        <f t="shared" si="12"/>
        <v>168000</v>
      </c>
      <c r="AU202">
        <v>9</v>
      </c>
    </row>
    <row r="203" spans="2:47" x14ac:dyDescent="0.2">
      <c r="B203" s="35"/>
      <c r="C203" s="1" t="s">
        <v>103</v>
      </c>
      <c r="D203" s="57"/>
      <c r="E203" s="2">
        <v>8700</v>
      </c>
      <c r="F203" s="8">
        <f t="shared" si="12"/>
        <v>0</v>
      </c>
    </row>
    <row r="204" spans="2:47" x14ac:dyDescent="0.2">
      <c r="B204" s="35"/>
      <c r="C204" s="1" t="s">
        <v>72</v>
      </c>
      <c r="D204" s="57"/>
      <c r="E204" s="2">
        <v>3800</v>
      </c>
      <c r="F204" s="8">
        <f t="shared" si="12"/>
        <v>0</v>
      </c>
    </row>
    <row r="205" spans="2:47" x14ac:dyDescent="0.2">
      <c r="B205" s="35">
        <v>115</v>
      </c>
      <c r="C205" s="1" t="s">
        <v>98</v>
      </c>
      <c r="D205" s="57"/>
      <c r="E205" s="2">
        <v>4700</v>
      </c>
      <c r="F205" s="8">
        <f t="shared" si="12"/>
        <v>540500</v>
      </c>
    </row>
    <row r="206" spans="2:47" x14ac:dyDescent="0.2">
      <c r="B206" s="35"/>
      <c r="C206" s="1" t="s">
        <v>77</v>
      </c>
      <c r="D206" s="57"/>
      <c r="E206" s="2">
        <v>9250</v>
      </c>
      <c r="F206" s="8">
        <f t="shared" si="12"/>
        <v>0</v>
      </c>
    </row>
    <row r="207" spans="2:47" x14ac:dyDescent="0.2">
      <c r="B207" s="35"/>
      <c r="C207" s="1" t="s">
        <v>84</v>
      </c>
      <c r="D207" s="57"/>
      <c r="E207" s="2">
        <v>223000</v>
      </c>
      <c r="F207" s="8">
        <f t="shared" si="12"/>
        <v>0</v>
      </c>
    </row>
    <row r="208" spans="2:47" x14ac:dyDescent="0.2">
      <c r="B208" s="35"/>
      <c r="C208" s="1" t="s">
        <v>73</v>
      </c>
      <c r="D208" s="57"/>
      <c r="E208" s="2">
        <v>8650</v>
      </c>
      <c r="F208" s="8">
        <f t="shared" si="12"/>
        <v>0</v>
      </c>
    </row>
    <row r="209" spans="2:52" x14ac:dyDescent="0.2">
      <c r="B209" s="35"/>
      <c r="C209" s="1" t="s">
        <v>76</v>
      </c>
      <c r="D209" s="57"/>
      <c r="E209" s="2">
        <v>9250</v>
      </c>
      <c r="F209" s="8">
        <f t="shared" si="12"/>
        <v>0</v>
      </c>
    </row>
    <row r="210" spans="2:52" x14ac:dyDescent="0.2">
      <c r="B210" s="72"/>
      <c r="C210" s="1" t="s">
        <v>74</v>
      </c>
      <c r="D210" s="71"/>
      <c r="E210" s="2">
        <v>3800</v>
      </c>
      <c r="F210" s="8">
        <f t="shared" si="12"/>
        <v>0</v>
      </c>
    </row>
    <row r="211" spans="2:52" x14ac:dyDescent="0.2">
      <c r="B211" s="72"/>
      <c r="C211" s="1" t="s">
        <v>85</v>
      </c>
      <c r="D211" s="71"/>
      <c r="E211" s="2">
        <v>7000</v>
      </c>
      <c r="F211" s="8">
        <f t="shared" si="12"/>
        <v>0</v>
      </c>
    </row>
    <row r="212" spans="2:52" x14ac:dyDescent="0.2">
      <c r="B212" s="72"/>
      <c r="C212" s="1" t="s">
        <v>99</v>
      </c>
      <c r="D212" s="71"/>
      <c r="E212" s="2">
        <v>8600</v>
      </c>
      <c r="F212" s="8">
        <f t="shared" si="12"/>
        <v>0</v>
      </c>
    </row>
    <row r="213" spans="2:52" x14ac:dyDescent="0.2">
      <c r="B213" s="72"/>
      <c r="C213" s="1" t="s">
        <v>108</v>
      </c>
      <c r="D213" s="71"/>
      <c r="E213" s="2">
        <v>8700</v>
      </c>
      <c r="F213" s="8">
        <f t="shared" si="12"/>
        <v>0</v>
      </c>
    </row>
    <row r="214" spans="2:52" x14ac:dyDescent="0.2">
      <c r="B214" s="35"/>
      <c r="C214" s="1" t="s">
        <v>117</v>
      </c>
      <c r="D214" s="57"/>
      <c r="E214" s="2">
        <v>3600</v>
      </c>
      <c r="F214" s="8">
        <f t="shared" si="12"/>
        <v>0</v>
      </c>
    </row>
    <row r="215" spans="2:52" x14ac:dyDescent="0.2">
      <c r="B215" s="35">
        <v>60</v>
      </c>
      <c r="C215" s="1" t="s">
        <v>107</v>
      </c>
      <c r="D215" s="57"/>
      <c r="E215" s="2">
        <v>3500</v>
      </c>
      <c r="F215" s="8">
        <f t="shared" si="12"/>
        <v>210000</v>
      </c>
    </row>
    <row r="216" spans="2:52" x14ac:dyDescent="0.2">
      <c r="B216" s="35">
        <v>30</v>
      </c>
      <c r="C216" s="1" t="s">
        <v>122</v>
      </c>
      <c r="D216" s="57"/>
      <c r="E216" s="2">
        <v>3500</v>
      </c>
      <c r="F216" s="8">
        <f t="shared" si="12"/>
        <v>105000</v>
      </c>
    </row>
    <row r="217" spans="2:52" x14ac:dyDescent="0.2">
      <c r="B217" s="35">
        <v>60</v>
      </c>
      <c r="C217" s="1" t="s">
        <v>123</v>
      </c>
      <c r="D217" s="57"/>
      <c r="E217" s="2">
        <v>3500</v>
      </c>
      <c r="F217" s="8">
        <f t="shared" si="12"/>
        <v>210000</v>
      </c>
    </row>
    <row r="218" spans="2:52" x14ac:dyDescent="0.2">
      <c r="B218" s="35"/>
      <c r="C218" s="1" t="s">
        <v>125</v>
      </c>
      <c r="D218" s="57"/>
      <c r="E218" s="2">
        <v>9000</v>
      </c>
      <c r="F218" s="8">
        <f t="shared" si="12"/>
        <v>0</v>
      </c>
    </row>
    <row r="219" spans="2:52" x14ac:dyDescent="0.2">
      <c r="B219" s="35"/>
      <c r="C219" s="1" t="s">
        <v>127</v>
      </c>
      <c r="D219" s="57"/>
      <c r="E219" s="2">
        <v>9000</v>
      </c>
      <c r="F219" s="8">
        <f t="shared" si="12"/>
        <v>0</v>
      </c>
    </row>
    <row r="220" spans="2:52" x14ac:dyDescent="0.2">
      <c r="B220" s="9"/>
      <c r="C220" s="68"/>
      <c r="D220" s="57"/>
      <c r="E220" s="1"/>
      <c r="F220" s="8">
        <f t="shared" si="12"/>
        <v>0</v>
      </c>
    </row>
    <row r="221" spans="2:52" ht="15.75" thickBot="1" x14ac:dyDescent="0.25">
      <c r="B221" s="128" t="s">
        <v>12</v>
      </c>
      <c r="C221" s="129"/>
      <c r="D221" s="129"/>
      <c r="E221" s="130"/>
      <c r="F221" s="45">
        <f>SUM(F195:F220)</f>
        <v>2403000</v>
      </c>
    </row>
    <row r="222" spans="2:52" x14ac:dyDescent="0.2">
      <c r="B222" s="131" t="s">
        <v>8</v>
      </c>
      <c r="C222" s="132"/>
      <c r="D222" s="132"/>
      <c r="E222" s="133"/>
      <c r="F222" s="17">
        <v>7216000</v>
      </c>
    </row>
    <row r="223" spans="2:52" x14ac:dyDescent="0.2">
      <c r="B223" s="134" t="s">
        <v>9</v>
      </c>
      <c r="C223" s="135"/>
      <c r="D223" s="135"/>
      <c r="E223" s="92"/>
      <c r="F223" s="46">
        <f>F221+F222</f>
        <v>9619000</v>
      </c>
      <c r="AZ223">
        <v>9</v>
      </c>
    </row>
    <row r="224" spans="2:52" x14ac:dyDescent="0.2">
      <c r="B224" s="134" t="s">
        <v>10</v>
      </c>
      <c r="C224" s="135"/>
      <c r="D224" s="135"/>
      <c r="E224" s="92"/>
      <c r="F224" s="8">
        <v>0</v>
      </c>
      <c r="H224" t="s">
        <v>124</v>
      </c>
    </row>
    <row r="225" spans="1:6" ht="15.75" thickBot="1" x14ac:dyDescent="0.25">
      <c r="B225" s="98" t="s">
        <v>11</v>
      </c>
      <c r="C225" s="99"/>
      <c r="D225" s="99"/>
      <c r="E225" s="100"/>
      <c r="F225" s="47">
        <f>F224-F223</f>
        <v>-9619000</v>
      </c>
    </row>
    <row r="226" spans="1:6" ht="15.75" thickBot="1" x14ac:dyDescent="0.25"/>
    <row r="227" spans="1:6" x14ac:dyDescent="0.2">
      <c r="B227" s="6" t="s">
        <v>2</v>
      </c>
      <c r="C227" s="138" t="str">
        <f>E2</f>
        <v>Oktober Rabu 21 2026</v>
      </c>
      <c r="D227" s="139"/>
      <c r="E227" s="139"/>
      <c r="F227" s="140"/>
    </row>
    <row r="228" spans="1:6" x14ac:dyDescent="0.2">
      <c r="A228" s="31" t="s">
        <v>32</v>
      </c>
      <c r="B228" s="7" t="s">
        <v>0</v>
      </c>
      <c r="C228" s="124" t="s">
        <v>87</v>
      </c>
      <c r="D228" s="124"/>
      <c r="E228" s="124"/>
      <c r="F228" s="125"/>
    </row>
    <row r="229" spans="1:6" x14ac:dyDescent="0.2">
      <c r="B229" s="7" t="s">
        <v>1</v>
      </c>
      <c r="C229" s="124" t="s">
        <v>52</v>
      </c>
      <c r="D229" s="124"/>
      <c r="E229" s="124"/>
      <c r="F229" s="125"/>
    </row>
    <row r="230" spans="1:6" ht="15.75" thickBot="1" x14ac:dyDescent="0.25">
      <c r="B230" s="7"/>
      <c r="C230" s="126"/>
      <c r="D230" s="126"/>
      <c r="E230" s="126"/>
      <c r="F230" s="127"/>
    </row>
    <row r="231" spans="1:6" x14ac:dyDescent="0.2">
      <c r="B231" s="3" t="s">
        <v>3</v>
      </c>
      <c r="C231" s="4" t="s">
        <v>4</v>
      </c>
      <c r="D231" s="4" t="s">
        <v>5</v>
      </c>
      <c r="E231" s="4" t="s">
        <v>7</v>
      </c>
      <c r="F231" s="5" t="s">
        <v>6</v>
      </c>
    </row>
    <row r="232" spans="1:6" x14ac:dyDescent="0.2">
      <c r="B232" s="19">
        <v>200</v>
      </c>
      <c r="C232" s="1" t="s">
        <v>80</v>
      </c>
      <c r="D232" s="57"/>
      <c r="E232" s="2">
        <v>3800</v>
      </c>
      <c r="F232" s="8">
        <f>(B232-D232) *E232</f>
        <v>760000</v>
      </c>
    </row>
    <row r="233" spans="1:6" x14ac:dyDescent="0.2">
      <c r="B233" s="19">
        <v>25</v>
      </c>
      <c r="C233" s="1" t="s">
        <v>16</v>
      </c>
      <c r="D233" s="57"/>
      <c r="E233" s="2">
        <v>9300</v>
      </c>
      <c r="F233" s="8">
        <f>(B233-D233) *E233</f>
        <v>232500</v>
      </c>
    </row>
    <row r="234" spans="1:6" x14ac:dyDescent="0.2">
      <c r="B234" s="19">
        <v>100</v>
      </c>
      <c r="C234" s="1" t="s">
        <v>78</v>
      </c>
      <c r="D234" s="57"/>
      <c r="E234" s="2">
        <v>4800</v>
      </c>
      <c r="F234" s="8">
        <f>(B234-D234) *E234</f>
        <v>480000</v>
      </c>
    </row>
    <row r="235" spans="1:6" x14ac:dyDescent="0.2">
      <c r="B235" s="19"/>
      <c r="C235" s="1" t="s">
        <v>79</v>
      </c>
      <c r="D235" s="57"/>
      <c r="E235" s="2">
        <v>9375</v>
      </c>
      <c r="F235" s="8">
        <f>(B235-D235) *E235</f>
        <v>0</v>
      </c>
    </row>
    <row r="236" spans="1:6" x14ac:dyDescent="0.2">
      <c r="B236" s="19">
        <v>5</v>
      </c>
      <c r="C236" s="1" t="s">
        <v>17</v>
      </c>
      <c r="D236" s="57"/>
      <c r="E236" s="2">
        <v>17000</v>
      </c>
      <c r="F236" s="8">
        <f>(B236-D236) *E236</f>
        <v>85000</v>
      </c>
    </row>
    <row r="237" spans="1:6" x14ac:dyDescent="0.2">
      <c r="B237" s="19"/>
      <c r="C237" s="1" t="s">
        <v>105</v>
      </c>
      <c r="D237" s="57"/>
      <c r="E237" s="2">
        <v>75000</v>
      </c>
      <c r="F237" s="8">
        <f t="shared" ref="F237:F257" si="13">(B237-D237) *E237</f>
        <v>0</v>
      </c>
    </row>
    <row r="238" spans="1:6" x14ac:dyDescent="0.2">
      <c r="B238" s="19"/>
      <c r="C238" s="1" t="s">
        <v>106</v>
      </c>
      <c r="D238" s="57"/>
      <c r="E238" s="2">
        <v>4500</v>
      </c>
      <c r="F238" s="8">
        <f t="shared" si="13"/>
        <v>0</v>
      </c>
    </row>
    <row r="239" spans="1:6" x14ac:dyDescent="0.2">
      <c r="B239" s="19"/>
      <c r="C239" s="1" t="s">
        <v>71</v>
      </c>
      <c r="D239" s="57"/>
      <c r="E239" s="2">
        <v>56000</v>
      </c>
      <c r="F239" s="8">
        <f t="shared" si="13"/>
        <v>0</v>
      </c>
    </row>
    <row r="240" spans="1:6" x14ac:dyDescent="0.2">
      <c r="B240" s="35"/>
      <c r="C240" s="1" t="s">
        <v>103</v>
      </c>
      <c r="D240" s="57"/>
      <c r="E240" s="2">
        <v>23700</v>
      </c>
      <c r="F240" s="8">
        <f t="shared" si="13"/>
        <v>0</v>
      </c>
    </row>
    <row r="241" spans="2:6" x14ac:dyDescent="0.2">
      <c r="B241" s="35">
        <v>100</v>
      </c>
      <c r="C241" s="1" t="s">
        <v>72</v>
      </c>
      <c r="D241" s="57"/>
      <c r="E241" s="2">
        <v>3800</v>
      </c>
      <c r="F241" s="8">
        <f t="shared" si="13"/>
        <v>380000</v>
      </c>
    </row>
    <row r="242" spans="2:6" x14ac:dyDescent="0.2">
      <c r="B242" s="35"/>
      <c r="C242" s="1" t="s">
        <v>98</v>
      </c>
      <c r="D242" s="57"/>
      <c r="E242" s="2">
        <v>4700</v>
      </c>
      <c r="F242" s="8">
        <f t="shared" si="13"/>
        <v>0</v>
      </c>
    </row>
    <row r="243" spans="2:6" x14ac:dyDescent="0.2">
      <c r="B243" s="35"/>
      <c r="C243" s="1" t="s">
        <v>77</v>
      </c>
      <c r="D243" s="57"/>
      <c r="E243" s="2">
        <v>9100</v>
      </c>
      <c r="F243" s="8">
        <f t="shared" si="13"/>
        <v>0</v>
      </c>
    </row>
    <row r="244" spans="2:6" x14ac:dyDescent="0.2">
      <c r="B244" s="35">
        <v>1</v>
      </c>
      <c r="C244" s="1" t="s">
        <v>84</v>
      </c>
      <c r="D244" s="57"/>
      <c r="E244" s="2">
        <v>223000</v>
      </c>
      <c r="F244" s="8">
        <f t="shared" si="13"/>
        <v>223000</v>
      </c>
    </row>
    <row r="245" spans="2:6" x14ac:dyDescent="0.2">
      <c r="B245" s="35"/>
      <c r="C245" s="1" t="s">
        <v>73</v>
      </c>
      <c r="D245" s="57"/>
      <c r="E245" s="2">
        <v>8650</v>
      </c>
      <c r="F245" s="8">
        <f t="shared" si="13"/>
        <v>0</v>
      </c>
    </row>
    <row r="246" spans="2:6" x14ac:dyDescent="0.2">
      <c r="B246" s="35"/>
      <c r="C246" s="1" t="s">
        <v>76</v>
      </c>
      <c r="D246" s="57"/>
      <c r="E246" s="2">
        <v>9250</v>
      </c>
      <c r="F246" s="8">
        <f t="shared" si="13"/>
        <v>0</v>
      </c>
    </row>
    <row r="247" spans="2:6" x14ac:dyDescent="0.2">
      <c r="B247" s="35"/>
      <c r="C247" s="1" t="s">
        <v>74</v>
      </c>
      <c r="D247" s="57"/>
      <c r="E247" s="2">
        <v>3800</v>
      </c>
      <c r="F247" s="8">
        <f t="shared" si="13"/>
        <v>0</v>
      </c>
    </row>
    <row r="248" spans="2:6" x14ac:dyDescent="0.2">
      <c r="B248" s="19"/>
      <c r="C248" s="1" t="s">
        <v>85</v>
      </c>
      <c r="D248" s="57"/>
      <c r="E248" s="2">
        <v>3700</v>
      </c>
      <c r="F248" s="8">
        <f t="shared" si="13"/>
        <v>0</v>
      </c>
    </row>
    <row r="249" spans="2:6" x14ac:dyDescent="0.2">
      <c r="B249" s="72">
        <v>24</v>
      </c>
      <c r="C249" s="1" t="s">
        <v>99</v>
      </c>
      <c r="D249" s="71"/>
      <c r="E249" s="2">
        <v>8600</v>
      </c>
      <c r="F249" s="8">
        <f t="shared" si="13"/>
        <v>206400</v>
      </c>
    </row>
    <row r="250" spans="2:6" x14ac:dyDescent="0.2">
      <c r="B250" s="72"/>
      <c r="C250" s="1" t="s">
        <v>108</v>
      </c>
      <c r="D250" s="71"/>
      <c r="E250" s="2">
        <v>9000</v>
      </c>
      <c r="F250" s="8">
        <f t="shared" si="13"/>
        <v>0</v>
      </c>
    </row>
    <row r="251" spans="2:6" x14ac:dyDescent="0.2">
      <c r="B251" s="72"/>
      <c r="C251" s="1" t="s">
        <v>118</v>
      </c>
      <c r="D251" s="71"/>
      <c r="E251" s="2">
        <v>3600</v>
      </c>
      <c r="F251" s="8">
        <f t="shared" si="13"/>
        <v>0</v>
      </c>
    </row>
    <row r="252" spans="2:6" x14ac:dyDescent="0.2">
      <c r="B252" s="35">
        <v>20</v>
      </c>
      <c r="C252" s="1" t="s">
        <v>107</v>
      </c>
      <c r="D252" s="57"/>
      <c r="E252" s="2">
        <v>3500</v>
      </c>
      <c r="F252" s="8">
        <f t="shared" si="13"/>
        <v>70000</v>
      </c>
    </row>
    <row r="253" spans="2:6" x14ac:dyDescent="0.2">
      <c r="B253" s="35"/>
      <c r="C253" s="1" t="s">
        <v>128</v>
      </c>
      <c r="D253" s="57"/>
      <c r="E253" s="2">
        <v>9000</v>
      </c>
      <c r="F253" s="8">
        <f t="shared" si="13"/>
        <v>0</v>
      </c>
    </row>
    <row r="254" spans="2:6" x14ac:dyDescent="0.2">
      <c r="B254" s="35"/>
      <c r="C254" s="1" t="s">
        <v>129</v>
      </c>
      <c r="D254" s="57"/>
      <c r="E254" s="2">
        <v>9000</v>
      </c>
      <c r="F254" s="8">
        <f t="shared" si="13"/>
        <v>0</v>
      </c>
    </row>
    <row r="255" spans="2:6" x14ac:dyDescent="0.2">
      <c r="B255" s="35">
        <v>20</v>
      </c>
      <c r="C255" s="1" t="s">
        <v>132</v>
      </c>
      <c r="D255" s="57"/>
      <c r="E255" s="2">
        <v>9000</v>
      </c>
      <c r="F255" s="8">
        <f t="shared" si="13"/>
        <v>180000</v>
      </c>
    </row>
    <row r="256" spans="2:6" x14ac:dyDescent="0.2">
      <c r="B256" s="35"/>
      <c r="C256" s="1" t="s">
        <v>129</v>
      </c>
      <c r="D256" s="57"/>
      <c r="E256" s="2">
        <v>9000</v>
      </c>
      <c r="F256" s="8">
        <f t="shared" si="13"/>
        <v>0</v>
      </c>
    </row>
    <row r="257" spans="1:6" x14ac:dyDescent="0.2">
      <c r="B257" s="9"/>
      <c r="C257" s="68" t="s">
        <v>133</v>
      </c>
      <c r="D257" s="57"/>
      <c r="E257" s="1">
        <v>12000</v>
      </c>
      <c r="F257" s="8">
        <f t="shared" si="13"/>
        <v>0</v>
      </c>
    </row>
    <row r="258" spans="1:6" ht="15.75" thickBot="1" x14ac:dyDescent="0.25">
      <c r="B258" s="128" t="s">
        <v>12</v>
      </c>
      <c r="C258" s="129"/>
      <c r="D258" s="129"/>
      <c r="E258" s="130"/>
      <c r="F258" s="45">
        <f>SUM(F232:F257)</f>
        <v>2616900</v>
      </c>
    </row>
    <row r="259" spans="1:6" x14ac:dyDescent="0.2">
      <c r="B259" s="131" t="s">
        <v>8</v>
      </c>
      <c r="C259" s="132"/>
      <c r="D259" s="132"/>
      <c r="E259" s="133"/>
      <c r="F259" s="17">
        <v>1481000</v>
      </c>
    </row>
    <row r="260" spans="1:6" x14ac:dyDescent="0.2">
      <c r="B260" s="134" t="s">
        <v>9</v>
      </c>
      <c r="C260" s="135"/>
      <c r="D260" s="135"/>
      <c r="E260" s="92"/>
      <c r="F260" s="46">
        <f>F258+F259</f>
        <v>4097900</v>
      </c>
    </row>
    <row r="261" spans="1:6" x14ac:dyDescent="0.2">
      <c r="B261" s="134" t="s">
        <v>10</v>
      </c>
      <c r="C261" s="135"/>
      <c r="D261" s="135"/>
      <c r="E261" s="92"/>
      <c r="F261" s="8">
        <v>2798000</v>
      </c>
    </row>
    <row r="262" spans="1:6" ht="15.75" thickBot="1" x14ac:dyDescent="0.25">
      <c r="B262" s="98" t="s">
        <v>11</v>
      </c>
      <c r="C262" s="99"/>
      <c r="D262" s="99"/>
      <c r="E262" s="100"/>
      <c r="F262" s="47">
        <f>F261-F260</f>
        <v>-1299900</v>
      </c>
    </row>
    <row r="263" spans="1:6" ht="15.75" thickBot="1" x14ac:dyDescent="0.25"/>
    <row r="264" spans="1:6" x14ac:dyDescent="0.2">
      <c r="B264" s="6" t="s">
        <v>2</v>
      </c>
      <c r="C264" s="138" t="str">
        <f>E2</f>
        <v>Oktober Rabu 21 2026</v>
      </c>
      <c r="D264" s="139"/>
      <c r="E264" s="139"/>
      <c r="F264" s="140"/>
    </row>
    <row r="265" spans="1:6" x14ac:dyDescent="0.2">
      <c r="A265" s="31" t="s">
        <v>33</v>
      </c>
      <c r="B265" s="7" t="s">
        <v>0</v>
      </c>
      <c r="C265" s="124" t="s">
        <v>55</v>
      </c>
      <c r="D265" s="124"/>
      <c r="E265" s="124"/>
      <c r="F265" s="125"/>
    </row>
    <row r="266" spans="1:6" x14ac:dyDescent="0.2">
      <c r="B266" s="7" t="s">
        <v>1</v>
      </c>
      <c r="C266" s="124" t="s">
        <v>52</v>
      </c>
      <c r="D266" s="124"/>
      <c r="E266" s="124"/>
      <c r="F266" s="125"/>
    </row>
    <row r="267" spans="1:6" ht="15.75" thickBot="1" x14ac:dyDescent="0.25">
      <c r="B267" s="7"/>
      <c r="C267" s="126"/>
      <c r="D267" s="126"/>
      <c r="E267" s="126"/>
      <c r="F267" s="127"/>
    </row>
    <row r="268" spans="1:6" x14ac:dyDescent="0.2">
      <c r="B268" s="3" t="s">
        <v>3</v>
      </c>
      <c r="C268" s="4" t="s">
        <v>4</v>
      </c>
      <c r="D268" s="4" t="s">
        <v>5</v>
      </c>
      <c r="E268" s="4" t="s">
        <v>7</v>
      </c>
      <c r="F268" s="5" t="s">
        <v>6</v>
      </c>
    </row>
    <row r="269" spans="1:6" x14ac:dyDescent="0.2">
      <c r="B269" s="35">
        <v>200</v>
      </c>
      <c r="C269" s="1" t="s">
        <v>80</v>
      </c>
      <c r="D269" s="57">
        <v>6</v>
      </c>
      <c r="E269" s="2">
        <v>3800</v>
      </c>
      <c r="F269" s="8">
        <f>(B269-D269) *E269</f>
        <v>737200</v>
      </c>
    </row>
    <row r="270" spans="1:6" x14ac:dyDescent="0.2">
      <c r="B270" s="19">
        <v>25</v>
      </c>
      <c r="C270" s="1" t="s">
        <v>16</v>
      </c>
      <c r="D270" s="57">
        <v>1</v>
      </c>
      <c r="E270" s="2">
        <v>9300</v>
      </c>
      <c r="F270" s="8">
        <f>(B270-D270) *E270</f>
        <v>223200</v>
      </c>
    </row>
    <row r="271" spans="1:6" x14ac:dyDescent="0.2">
      <c r="B271" s="19">
        <v>75</v>
      </c>
      <c r="C271" s="1" t="s">
        <v>78</v>
      </c>
      <c r="D271" s="57">
        <v>2</v>
      </c>
      <c r="E271" s="2">
        <v>4800</v>
      </c>
      <c r="F271" s="8">
        <f>(B271-D271) *E271</f>
        <v>350400</v>
      </c>
    </row>
    <row r="272" spans="1:6" x14ac:dyDescent="0.2">
      <c r="B272" s="19">
        <v>48</v>
      </c>
      <c r="C272" s="1" t="s">
        <v>79</v>
      </c>
      <c r="D272" s="57"/>
      <c r="E272" s="2">
        <v>9375</v>
      </c>
      <c r="F272" s="8">
        <f>(B272-D272) *E272</f>
        <v>450000</v>
      </c>
    </row>
    <row r="273" spans="2:6" x14ac:dyDescent="0.2">
      <c r="B273" s="19">
        <v>5</v>
      </c>
      <c r="C273" s="1" t="s">
        <v>17</v>
      </c>
      <c r="D273" s="57"/>
      <c r="E273" s="2">
        <v>17000</v>
      </c>
      <c r="F273" s="8">
        <f>(B273-D273) *E273</f>
        <v>85000</v>
      </c>
    </row>
    <row r="274" spans="2:6" x14ac:dyDescent="0.2">
      <c r="B274" s="19"/>
      <c r="C274" s="1" t="s">
        <v>105</v>
      </c>
      <c r="D274" s="57"/>
      <c r="E274" s="2">
        <v>75000</v>
      </c>
      <c r="F274" s="8">
        <f t="shared" ref="F274:F294" si="14">(B274-D274) *E274</f>
        <v>0</v>
      </c>
    </row>
    <row r="275" spans="2:6" x14ac:dyDescent="0.2">
      <c r="B275" s="19"/>
      <c r="C275" s="1" t="s">
        <v>106</v>
      </c>
      <c r="D275" s="57"/>
      <c r="E275" s="2">
        <v>4800</v>
      </c>
      <c r="F275" s="8">
        <f t="shared" si="14"/>
        <v>0</v>
      </c>
    </row>
    <row r="276" spans="2:6" x14ac:dyDescent="0.2">
      <c r="B276" s="19"/>
      <c r="C276" s="1" t="s">
        <v>71</v>
      </c>
      <c r="D276" s="57"/>
      <c r="E276" s="2">
        <v>56000</v>
      </c>
      <c r="F276" s="8">
        <f t="shared" si="14"/>
        <v>0</v>
      </c>
    </row>
    <row r="277" spans="2:6" x14ac:dyDescent="0.2">
      <c r="B277" s="35"/>
      <c r="C277" s="1" t="s">
        <v>103</v>
      </c>
      <c r="D277" s="57"/>
      <c r="E277" s="2">
        <v>4500</v>
      </c>
      <c r="F277" s="8">
        <f t="shared" si="14"/>
        <v>0</v>
      </c>
    </row>
    <row r="278" spans="2:6" x14ac:dyDescent="0.2">
      <c r="B278" s="35">
        <v>200</v>
      </c>
      <c r="C278" s="1" t="s">
        <v>72</v>
      </c>
      <c r="D278" s="57"/>
      <c r="E278" s="2">
        <v>3800</v>
      </c>
      <c r="F278" s="8">
        <f t="shared" si="14"/>
        <v>760000</v>
      </c>
    </row>
    <row r="279" spans="2:6" x14ac:dyDescent="0.2">
      <c r="B279" s="35"/>
      <c r="C279" s="1" t="s">
        <v>98</v>
      </c>
      <c r="D279" s="57"/>
      <c r="E279" s="2">
        <v>22500</v>
      </c>
      <c r="F279" s="8">
        <f t="shared" si="14"/>
        <v>0</v>
      </c>
    </row>
    <row r="280" spans="2:6" x14ac:dyDescent="0.2">
      <c r="B280" s="35"/>
      <c r="C280" s="1" t="s">
        <v>77</v>
      </c>
      <c r="D280" s="57"/>
      <c r="E280" s="2">
        <v>9250</v>
      </c>
      <c r="F280" s="8">
        <f t="shared" si="14"/>
        <v>0</v>
      </c>
    </row>
    <row r="281" spans="2:6" x14ac:dyDescent="0.2">
      <c r="B281" s="35">
        <v>1</v>
      </c>
      <c r="C281" s="1" t="s">
        <v>84</v>
      </c>
      <c r="D281" s="57"/>
      <c r="E281" s="2">
        <v>222000</v>
      </c>
      <c r="F281" s="8">
        <f t="shared" si="14"/>
        <v>222000</v>
      </c>
    </row>
    <row r="282" spans="2:6" x14ac:dyDescent="0.2">
      <c r="B282" s="35"/>
      <c r="C282" s="1" t="s">
        <v>73</v>
      </c>
      <c r="D282" s="57"/>
      <c r="E282" s="2">
        <v>8650</v>
      </c>
      <c r="F282" s="8">
        <f t="shared" si="14"/>
        <v>0</v>
      </c>
    </row>
    <row r="283" spans="2:6" x14ac:dyDescent="0.2">
      <c r="B283" s="35"/>
      <c r="C283" s="1" t="s">
        <v>76</v>
      </c>
      <c r="D283" s="57"/>
      <c r="E283" s="2">
        <v>9250</v>
      </c>
      <c r="F283" s="8">
        <f t="shared" si="14"/>
        <v>0</v>
      </c>
    </row>
    <row r="284" spans="2:6" x14ac:dyDescent="0.2">
      <c r="B284" s="35"/>
      <c r="C284" s="1" t="s">
        <v>74</v>
      </c>
      <c r="D284" s="57"/>
      <c r="E284" s="2">
        <v>3800</v>
      </c>
      <c r="F284" s="8">
        <f t="shared" si="14"/>
        <v>0</v>
      </c>
    </row>
    <row r="285" spans="2:6" x14ac:dyDescent="0.2">
      <c r="B285" s="19"/>
      <c r="C285" s="1" t="s">
        <v>85</v>
      </c>
      <c r="D285" s="57"/>
      <c r="E285" s="2">
        <v>4600</v>
      </c>
      <c r="F285" s="8">
        <f t="shared" si="14"/>
        <v>0</v>
      </c>
    </row>
    <row r="286" spans="2:6" x14ac:dyDescent="0.2">
      <c r="B286" s="72"/>
      <c r="C286" s="1" t="s">
        <v>99</v>
      </c>
      <c r="D286" s="71"/>
      <c r="E286" s="2">
        <v>8600</v>
      </c>
      <c r="F286" s="8">
        <f t="shared" si="14"/>
        <v>0</v>
      </c>
    </row>
    <row r="287" spans="2:6" x14ac:dyDescent="0.2">
      <c r="B287" s="72"/>
      <c r="C287" s="1" t="s">
        <v>108</v>
      </c>
      <c r="D287" s="71"/>
      <c r="E287" s="2">
        <v>9000</v>
      </c>
      <c r="F287" s="8">
        <f t="shared" si="14"/>
        <v>0</v>
      </c>
    </row>
    <row r="288" spans="2:6" x14ac:dyDescent="0.2">
      <c r="B288" s="35"/>
      <c r="C288" s="1" t="s">
        <v>104</v>
      </c>
      <c r="D288" s="57"/>
      <c r="E288" s="2"/>
      <c r="F288" s="8">
        <f t="shared" si="14"/>
        <v>0</v>
      </c>
    </row>
    <row r="289" spans="1:6" x14ac:dyDescent="0.2">
      <c r="B289" s="35">
        <v>20</v>
      </c>
      <c r="C289" s="1" t="s">
        <v>107</v>
      </c>
      <c r="D289" s="57"/>
      <c r="E289" s="2">
        <v>3500</v>
      </c>
      <c r="F289" s="8">
        <f t="shared" si="14"/>
        <v>70000</v>
      </c>
    </row>
    <row r="290" spans="1:6" x14ac:dyDescent="0.2">
      <c r="B290" s="35"/>
      <c r="C290" s="1" t="s">
        <v>116</v>
      </c>
      <c r="D290" s="57"/>
      <c r="E290" s="2">
        <v>4000</v>
      </c>
      <c r="F290" s="8">
        <f t="shared" si="14"/>
        <v>0</v>
      </c>
    </row>
    <row r="291" spans="1:6" x14ac:dyDescent="0.2">
      <c r="B291" s="35"/>
      <c r="C291" s="1"/>
      <c r="D291" s="57"/>
      <c r="E291" s="2"/>
      <c r="F291" s="8">
        <f t="shared" si="14"/>
        <v>0</v>
      </c>
    </row>
    <row r="292" spans="1:6" x14ac:dyDescent="0.2">
      <c r="B292" s="35"/>
      <c r="C292" s="1"/>
      <c r="D292" s="57"/>
      <c r="E292" s="2"/>
      <c r="F292" s="8">
        <f t="shared" si="14"/>
        <v>0</v>
      </c>
    </row>
    <row r="293" spans="1:6" x14ac:dyDescent="0.2">
      <c r="B293" s="35"/>
      <c r="C293" s="1"/>
      <c r="D293" s="57"/>
      <c r="E293" s="2"/>
      <c r="F293" s="8">
        <f t="shared" si="14"/>
        <v>0</v>
      </c>
    </row>
    <row r="294" spans="1:6" x14ac:dyDescent="0.2">
      <c r="B294" s="9"/>
      <c r="C294" s="68"/>
      <c r="D294" s="57"/>
      <c r="E294" s="1"/>
      <c r="F294" s="8">
        <f t="shared" si="14"/>
        <v>0</v>
      </c>
    </row>
    <row r="295" spans="1:6" ht="15.75" thickBot="1" x14ac:dyDescent="0.25">
      <c r="B295" s="128" t="s">
        <v>12</v>
      </c>
      <c r="C295" s="129"/>
      <c r="D295" s="129"/>
      <c r="E295" s="130"/>
      <c r="F295" s="45">
        <f>SUM(F269:F294)</f>
        <v>2897800</v>
      </c>
    </row>
    <row r="296" spans="1:6" x14ac:dyDescent="0.2">
      <c r="B296" s="131" t="s">
        <v>8</v>
      </c>
      <c r="C296" s="132"/>
      <c r="D296" s="132"/>
      <c r="E296" s="133"/>
      <c r="F296" s="17">
        <v>2646000</v>
      </c>
    </row>
    <row r="297" spans="1:6" x14ac:dyDescent="0.2">
      <c r="B297" s="134" t="s">
        <v>9</v>
      </c>
      <c r="C297" s="135"/>
      <c r="D297" s="135"/>
      <c r="E297" s="92"/>
      <c r="F297" s="46">
        <f>F295+F296</f>
        <v>5543800</v>
      </c>
    </row>
    <row r="298" spans="1:6" x14ac:dyDescent="0.2">
      <c r="B298" s="134" t="s">
        <v>10</v>
      </c>
      <c r="C298" s="135"/>
      <c r="D298" s="135"/>
      <c r="E298" s="92"/>
      <c r="F298" s="8">
        <v>2646000</v>
      </c>
    </row>
    <row r="299" spans="1:6" ht="15.75" thickBot="1" x14ac:dyDescent="0.25">
      <c r="B299" s="98" t="s">
        <v>11</v>
      </c>
      <c r="C299" s="99"/>
      <c r="D299" s="99"/>
      <c r="E299" s="100"/>
      <c r="F299" s="47">
        <f>F298-F297</f>
        <v>-2897800</v>
      </c>
    </row>
    <row r="300" spans="1:6" ht="15.75" thickBot="1" x14ac:dyDescent="0.25"/>
    <row r="301" spans="1:6" x14ac:dyDescent="0.2">
      <c r="B301" s="6" t="s">
        <v>2</v>
      </c>
      <c r="C301" s="145" t="str">
        <f>E2</f>
        <v>Oktober Rabu 21 2026</v>
      </c>
      <c r="D301" s="139"/>
      <c r="E301" s="139"/>
      <c r="F301" s="140"/>
    </row>
    <row r="302" spans="1:6" x14ac:dyDescent="0.2">
      <c r="A302" s="31" t="s">
        <v>34</v>
      </c>
      <c r="B302" s="7" t="s">
        <v>0</v>
      </c>
      <c r="C302" s="124" t="s">
        <v>56</v>
      </c>
      <c r="D302" s="124"/>
      <c r="E302" s="124"/>
      <c r="F302" s="125"/>
    </row>
    <row r="303" spans="1:6" x14ac:dyDescent="0.2">
      <c r="B303" s="7" t="s">
        <v>1</v>
      </c>
      <c r="C303" s="124" t="s">
        <v>52</v>
      </c>
      <c r="D303" s="124"/>
      <c r="E303" s="124"/>
      <c r="F303" s="125"/>
    </row>
    <row r="304" spans="1:6" ht="15.75" thickBot="1" x14ac:dyDescent="0.25">
      <c r="B304" s="7"/>
      <c r="C304" s="126"/>
      <c r="D304" s="126"/>
      <c r="E304" s="126"/>
      <c r="F304" s="127"/>
    </row>
    <row r="305" spans="2:6" x14ac:dyDescent="0.2">
      <c r="B305" s="3" t="s">
        <v>3</v>
      </c>
      <c r="C305" s="4" t="s">
        <v>4</v>
      </c>
      <c r="D305" s="4" t="s">
        <v>5</v>
      </c>
      <c r="E305" s="4" t="s">
        <v>7</v>
      </c>
      <c r="F305" s="5" t="s">
        <v>6</v>
      </c>
    </row>
    <row r="306" spans="2:6" x14ac:dyDescent="0.2">
      <c r="B306" s="33">
        <v>100</v>
      </c>
      <c r="C306" s="1" t="s">
        <v>80</v>
      </c>
      <c r="D306" s="57"/>
      <c r="E306" s="2">
        <v>3800</v>
      </c>
      <c r="F306" s="8">
        <f>(B306-D306) *E306</f>
        <v>380000</v>
      </c>
    </row>
    <row r="307" spans="2:6" x14ac:dyDescent="0.2">
      <c r="B307" s="33"/>
      <c r="C307" s="1" t="s">
        <v>16</v>
      </c>
      <c r="D307" s="57"/>
      <c r="E307" s="2">
        <v>9300</v>
      </c>
      <c r="F307" s="8">
        <f>(B307-D307) *E307</f>
        <v>0</v>
      </c>
    </row>
    <row r="308" spans="2:6" x14ac:dyDescent="0.2">
      <c r="B308" s="33">
        <v>10</v>
      </c>
      <c r="C308" s="1" t="s">
        <v>78</v>
      </c>
      <c r="D308" s="57"/>
      <c r="E308" s="2">
        <v>4800</v>
      </c>
      <c r="F308" s="8">
        <f>(B308-D308) *E308</f>
        <v>48000</v>
      </c>
    </row>
    <row r="309" spans="2:6" x14ac:dyDescent="0.2">
      <c r="B309" s="33"/>
      <c r="C309" s="1" t="s">
        <v>79</v>
      </c>
      <c r="D309" s="57"/>
      <c r="E309" s="2">
        <v>222000</v>
      </c>
      <c r="F309" s="8">
        <f>(B309-D309) *E309</f>
        <v>0</v>
      </c>
    </row>
    <row r="310" spans="2:6" x14ac:dyDescent="0.2">
      <c r="B310" s="33"/>
      <c r="C310" s="1" t="s">
        <v>17</v>
      </c>
      <c r="D310" s="57"/>
      <c r="E310" s="2">
        <v>17000</v>
      </c>
      <c r="F310" s="8">
        <f>(B310-D310) *E310</f>
        <v>0</v>
      </c>
    </row>
    <row r="311" spans="2:6" x14ac:dyDescent="0.2">
      <c r="B311" s="33"/>
      <c r="C311" s="1" t="s">
        <v>105</v>
      </c>
      <c r="D311" s="57"/>
      <c r="E311" s="2">
        <v>75000</v>
      </c>
      <c r="F311" s="8">
        <f t="shared" ref="F311:F331" si="15">(B311-D311) *E311</f>
        <v>0</v>
      </c>
    </row>
    <row r="312" spans="2:6" x14ac:dyDescent="0.2">
      <c r="B312" s="33"/>
      <c r="C312" s="1" t="s">
        <v>106</v>
      </c>
      <c r="D312" s="57"/>
      <c r="E312" s="2">
        <v>5000</v>
      </c>
      <c r="F312" s="8">
        <f t="shared" si="15"/>
        <v>0</v>
      </c>
    </row>
    <row r="313" spans="2:6" x14ac:dyDescent="0.2">
      <c r="B313" s="33"/>
      <c r="C313" s="1" t="s">
        <v>71</v>
      </c>
      <c r="D313" s="57"/>
      <c r="E313" s="2">
        <v>56000</v>
      </c>
      <c r="F313" s="8">
        <f t="shared" si="15"/>
        <v>0</v>
      </c>
    </row>
    <row r="314" spans="2:6" x14ac:dyDescent="0.2">
      <c r="B314" s="35"/>
      <c r="C314" s="1" t="s">
        <v>103</v>
      </c>
      <c r="D314" s="57"/>
      <c r="E314" s="2">
        <v>4500</v>
      </c>
      <c r="F314" s="8">
        <f t="shared" si="15"/>
        <v>0</v>
      </c>
    </row>
    <row r="315" spans="2:6" x14ac:dyDescent="0.2">
      <c r="B315" s="35">
        <v>10</v>
      </c>
      <c r="C315" s="1" t="s">
        <v>72</v>
      </c>
      <c r="D315" s="57"/>
      <c r="E315" s="2">
        <v>3800</v>
      </c>
      <c r="F315" s="8">
        <f t="shared" si="15"/>
        <v>38000</v>
      </c>
    </row>
    <row r="316" spans="2:6" x14ac:dyDescent="0.2">
      <c r="B316" s="35">
        <v>10</v>
      </c>
      <c r="C316" s="1" t="s">
        <v>98</v>
      </c>
      <c r="D316" s="57"/>
      <c r="E316" s="2">
        <v>4700</v>
      </c>
      <c r="F316" s="8">
        <f t="shared" si="15"/>
        <v>47000</v>
      </c>
    </row>
    <row r="317" spans="2:6" x14ac:dyDescent="0.2">
      <c r="B317" s="35"/>
      <c r="C317" s="1" t="s">
        <v>77</v>
      </c>
      <c r="D317" s="57"/>
      <c r="E317" s="2">
        <v>9250</v>
      </c>
      <c r="F317" s="8">
        <f t="shared" si="15"/>
        <v>0</v>
      </c>
    </row>
    <row r="318" spans="2:6" x14ac:dyDescent="0.2">
      <c r="B318" s="35"/>
      <c r="C318" s="1" t="s">
        <v>84</v>
      </c>
      <c r="D318" s="57"/>
      <c r="E318" s="2">
        <v>8500</v>
      </c>
      <c r="F318" s="8">
        <f t="shared" si="15"/>
        <v>0</v>
      </c>
    </row>
    <row r="319" spans="2:6" x14ac:dyDescent="0.2">
      <c r="B319" s="35"/>
      <c r="C319" s="1" t="s">
        <v>73</v>
      </c>
      <c r="D319" s="57"/>
      <c r="E319" s="2">
        <v>8650</v>
      </c>
      <c r="F319" s="8">
        <f t="shared" si="15"/>
        <v>0</v>
      </c>
    </row>
    <row r="320" spans="2:6" x14ac:dyDescent="0.2">
      <c r="B320" s="35"/>
      <c r="C320" s="1" t="s">
        <v>76</v>
      </c>
      <c r="D320" s="57"/>
      <c r="E320" s="2">
        <v>9250</v>
      </c>
      <c r="F320" s="8">
        <f t="shared" si="15"/>
        <v>0</v>
      </c>
    </row>
    <row r="321" spans="2:6" x14ac:dyDescent="0.2">
      <c r="B321" s="35"/>
      <c r="C321" s="1" t="s">
        <v>74</v>
      </c>
      <c r="D321" s="57"/>
      <c r="E321" s="2">
        <v>3800</v>
      </c>
      <c r="F321" s="8">
        <f t="shared" si="15"/>
        <v>0</v>
      </c>
    </row>
    <row r="322" spans="2:6" x14ac:dyDescent="0.2">
      <c r="B322" s="33"/>
      <c r="C322" s="1" t="s">
        <v>85</v>
      </c>
      <c r="D322" s="57"/>
      <c r="E322" s="2">
        <v>3700</v>
      </c>
      <c r="F322" s="8">
        <f t="shared" si="15"/>
        <v>0</v>
      </c>
    </row>
    <row r="323" spans="2:6" x14ac:dyDescent="0.2">
      <c r="B323" s="35"/>
      <c r="C323" s="1" t="s">
        <v>99</v>
      </c>
      <c r="D323" s="57"/>
      <c r="E323" s="2">
        <v>216000</v>
      </c>
      <c r="F323" s="8">
        <f t="shared" si="15"/>
        <v>0</v>
      </c>
    </row>
    <row r="324" spans="2:6" x14ac:dyDescent="0.2">
      <c r="B324" s="72"/>
      <c r="C324" s="1" t="s">
        <v>108</v>
      </c>
      <c r="D324" s="71"/>
      <c r="E324" s="2">
        <v>16500</v>
      </c>
      <c r="F324" s="8">
        <f t="shared" si="15"/>
        <v>0</v>
      </c>
    </row>
    <row r="325" spans="2:6" x14ac:dyDescent="0.2">
      <c r="B325" s="35"/>
      <c r="C325" s="1" t="s">
        <v>104</v>
      </c>
      <c r="D325" s="57"/>
      <c r="E325" s="2"/>
      <c r="F325" s="8">
        <f t="shared" si="15"/>
        <v>0</v>
      </c>
    </row>
    <row r="326" spans="2:6" x14ac:dyDescent="0.2">
      <c r="B326" s="35"/>
      <c r="C326" s="1" t="s">
        <v>107</v>
      </c>
      <c r="D326" s="57"/>
      <c r="E326" s="2"/>
      <c r="F326" s="8">
        <f t="shared" si="15"/>
        <v>0</v>
      </c>
    </row>
    <row r="327" spans="2:6" x14ac:dyDescent="0.2">
      <c r="B327" s="35"/>
      <c r="C327" s="1"/>
      <c r="D327" s="57"/>
      <c r="E327" s="2"/>
      <c r="F327" s="8">
        <f t="shared" si="15"/>
        <v>0</v>
      </c>
    </row>
    <row r="328" spans="2:6" x14ac:dyDescent="0.2">
      <c r="B328" s="35"/>
      <c r="C328" s="1"/>
      <c r="D328" s="57"/>
      <c r="E328" s="2"/>
      <c r="F328" s="8">
        <f t="shared" si="15"/>
        <v>0</v>
      </c>
    </row>
    <row r="329" spans="2:6" x14ac:dyDescent="0.2">
      <c r="B329" s="35"/>
      <c r="C329" s="1"/>
      <c r="D329" s="57"/>
      <c r="E329" s="2"/>
      <c r="F329" s="8">
        <f t="shared" si="15"/>
        <v>0</v>
      </c>
    </row>
    <row r="330" spans="2:6" x14ac:dyDescent="0.2">
      <c r="B330" s="35"/>
      <c r="C330" s="1"/>
      <c r="D330" s="57"/>
      <c r="E330" s="2"/>
      <c r="F330" s="8">
        <f t="shared" si="15"/>
        <v>0</v>
      </c>
    </row>
    <row r="331" spans="2:6" x14ac:dyDescent="0.2">
      <c r="B331" s="9"/>
      <c r="C331" s="68"/>
      <c r="D331" s="57"/>
      <c r="E331" s="1"/>
      <c r="F331" s="8">
        <f t="shared" si="15"/>
        <v>0</v>
      </c>
    </row>
    <row r="332" spans="2:6" ht="15.75" thickBot="1" x14ac:dyDescent="0.25">
      <c r="B332" s="128" t="s">
        <v>12</v>
      </c>
      <c r="C332" s="129"/>
      <c r="D332" s="129"/>
      <c r="E332" s="130"/>
      <c r="F332" s="45">
        <f>SUM(F306:F331)</f>
        <v>513000</v>
      </c>
    </row>
    <row r="333" spans="2:6" x14ac:dyDescent="0.2">
      <c r="B333" s="146">
        <f>F150</f>
        <v>203000</v>
      </c>
      <c r="C333" s="132"/>
      <c r="D333" s="132"/>
      <c r="E333" s="133"/>
      <c r="F333" s="17">
        <v>226000</v>
      </c>
    </row>
    <row r="334" spans="2:6" x14ac:dyDescent="0.2">
      <c r="B334" s="134" t="s">
        <v>9</v>
      </c>
      <c r="C334" s="135"/>
      <c r="D334" s="135"/>
      <c r="E334" s="92"/>
      <c r="F334" s="46">
        <f>F332+F333</f>
        <v>739000</v>
      </c>
    </row>
    <row r="335" spans="2:6" x14ac:dyDescent="0.2">
      <c r="B335" s="134" t="s">
        <v>10</v>
      </c>
      <c r="C335" s="135"/>
      <c r="D335" s="135"/>
      <c r="E335" s="92"/>
      <c r="F335" s="8">
        <v>639000</v>
      </c>
    </row>
    <row r="336" spans="2:6" ht="15.75" thickBot="1" x14ac:dyDescent="0.25">
      <c r="B336" s="98" t="s">
        <v>11</v>
      </c>
      <c r="C336" s="99"/>
      <c r="D336" s="99"/>
      <c r="E336" s="100"/>
      <c r="F336" s="47">
        <f>F335-F334</f>
        <v>-100000</v>
      </c>
    </row>
    <row r="337" spans="1:6" ht="15.75" thickBot="1" x14ac:dyDescent="0.25"/>
    <row r="338" spans="1:6" x14ac:dyDescent="0.2">
      <c r="B338" s="6" t="s">
        <v>2</v>
      </c>
      <c r="C338" s="138" t="str">
        <f>E2</f>
        <v>Oktober Rabu 21 2026</v>
      </c>
      <c r="D338" s="139"/>
      <c r="E338" s="139"/>
      <c r="F338" s="140"/>
    </row>
    <row r="339" spans="1:6" x14ac:dyDescent="0.2">
      <c r="A339" s="31" t="s">
        <v>35</v>
      </c>
      <c r="B339" s="7" t="s">
        <v>0</v>
      </c>
      <c r="C339" s="124" t="s">
        <v>57</v>
      </c>
      <c r="D339" s="124"/>
      <c r="E339" s="124"/>
      <c r="F339" s="125"/>
    </row>
    <row r="340" spans="1:6" x14ac:dyDescent="0.2">
      <c r="B340" s="7" t="s">
        <v>1</v>
      </c>
      <c r="C340" s="124" t="s">
        <v>52</v>
      </c>
      <c r="D340" s="124"/>
      <c r="E340" s="124"/>
      <c r="F340" s="125"/>
    </row>
    <row r="341" spans="1:6" ht="15.75" thickBot="1" x14ac:dyDescent="0.25">
      <c r="B341" s="7"/>
      <c r="C341" s="126"/>
      <c r="D341" s="126"/>
      <c r="E341" s="126"/>
      <c r="F341" s="127"/>
    </row>
    <row r="342" spans="1:6" x14ac:dyDescent="0.2">
      <c r="B342" s="3" t="s">
        <v>3</v>
      </c>
      <c r="C342" s="4" t="s">
        <v>4</v>
      </c>
      <c r="D342" s="4" t="s">
        <v>5</v>
      </c>
      <c r="E342" s="4" t="s">
        <v>7</v>
      </c>
      <c r="F342" s="5" t="s">
        <v>6</v>
      </c>
    </row>
    <row r="343" spans="1:6" x14ac:dyDescent="0.2">
      <c r="B343" s="19">
        <v>25</v>
      </c>
      <c r="C343" s="1" t="s">
        <v>80</v>
      </c>
      <c r="D343" s="57"/>
      <c r="E343" s="2">
        <v>3800</v>
      </c>
      <c r="F343" s="8">
        <f>(B343-D343) *E343</f>
        <v>95000</v>
      </c>
    </row>
    <row r="344" spans="1:6" x14ac:dyDescent="0.2">
      <c r="B344" s="35">
        <v>25</v>
      </c>
      <c r="C344" s="1" t="s">
        <v>16</v>
      </c>
      <c r="D344" s="57"/>
      <c r="E344" s="2">
        <v>9300</v>
      </c>
      <c r="F344" s="8">
        <f>(B344-D344) *E344</f>
        <v>232500</v>
      </c>
    </row>
    <row r="345" spans="1:6" x14ac:dyDescent="0.2">
      <c r="B345" s="19">
        <v>25</v>
      </c>
      <c r="C345" s="1" t="s">
        <v>78</v>
      </c>
      <c r="D345" s="57"/>
      <c r="E345" s="2">
        <v>4800</v>
      </c>
      <c r="F345" s="8">
        <f>(B345-D345) *E345</f>
        <v>120000</v>
      </c>
    </row>
    <row r="346" spans="1:6" x14ac:dyDescent="0.2">
      <c r="B346" s="19"/>
      <c r="C346" s="1" t="s">
        <v>79</v>
      </c>
      <c r="D346" s="57"/>
      <c r="E346" s="2">
        <v>222000</v>
      </c>
      <c r="F346" s="8">
        <f>(B346-D346) *E346</f>
        <v>0</v>
      </c>
    </row>
    <row r="347" spans="1:6" x14ac:dyDescent="0.2">
      <c r="B347" s="19"/>
      <c r="C347" s="1" t="s">
        <v>17</v>
      </c>
      <c r="D347" s="57"/>
      <c r="E347" s="2">
        <v>17000</v>
      </c>
      <c r="F347" s="8">
        <f>(B347-D347) *E347</f>
        <v>0</v>
      </c>
    </row>
    <row r="348" spans="1:6" x14ac:dyDescent="0.2">
      <c r="B348" s="19"/>
      <c r="C348" s="1" t="s">
        <v>105</v>
      </c>
      <c r="D348" s="57"/>
      <c r="E348" s="2">
        <v>75000</v>
      </c>
      <c r="F348" s="8">
        <f t="shared" ref="F348:F368" si="16">(B348-D348) *E348</f>
        <v>0</v>
      </c>
    </row>
    <row r="349" spans="1:6" x14ac:dyDescent="0.2">
      <c r="B349" s="19"/>
      <c r="C349" s="1" t="s">
        <v>106</v>
      </c>
      <c r="D349" s="57"/>
      <c r="E349" s="2">
        <v>5000</v>
      </c>
      <c r="F349" s="8">
        <f t="shared" si="16"/>
        <v>0</v>
      </c>
    </row>
    <row r="350" spans="1:6" x14ac:dyDescent="0.2">
      <c r="B350" s="19"/>
      <c r="C350" s="1" t="s">
        <v>71</v>
      </c>
      <c r="D350" s="57"/>
      <c r="E350" s="2">
        <v>56000</v>
      </c>
      <c r="F350" s="8">
        <f t="shared" si="16"/>
        <v>0</v>
      </c>
    </row>
    <row r="351" spans="1:6" x14ac:dyDescent="0.2">
      <c r="B351" s="35"/>
      <c r="C351" s="1" t="s">
        <v>103</v>
      </c>
      <c r="D351" s="57"/>
      <c r="E351" s="2">
        <v>4500</v>
      </c>
      <c r="F351" s="8">
        <f t="shared" si="16"/>
        <v>0</v>
      </c>
    </row>
    <row r="352" spans="1:6" x14ac:dyDescent="0.2">
      <c r="B352" s="35"/>
      <c r="C352" s="1" t="s">
        <v>72</v>
      </c>
      <c r="D352" s="57"/>
      <c r="E352" s="2">
        <v>3800</v>
      </c>
      <c r="F352" s="8">
        <f t="shared" si="16"/>
        <v>0</v>
      </c>
    </row>
    <row r="353" spans="2:6" x14ac:dyDescent="0.2">
      <c r="B353" s="35"/>
      <c r="C353" s="1" t="s">
        <v>98</v>
      </c>
      <c r="D353" s="57"/>
      <c r="E353" s="2">
        <v>4700</v>
      </c>
      <c r="F353" s="8">
        <f t="shared" si="16"/>
        <v>0</v>
      </c>
    </row>
    <row r="354" spans="2:6" x14ac:dyDescent="0.2">
      <c r="B354" s="35"/>
      <c r="C354" s="1" t="s">
        <v>77</v>
      </c>
      <c r="D354" s="57"/>
      <c r="E354" s="2">
        <v>9250</v>
      </c>
      <c r="F354" s="8">
        <f t="shared" si="16"/>
        <v>0</v>
      </c>
    </row>
    <row r="355" spans="2:6" x14ac:dyDescent="0.2">
      <c r="B355" s="35"/>
      <c r="C355" s="1" t="s">
        <v>84</v>
      </c>
      <c r="D355" s="57"/>
      <c r="E355" s="2">
        <v>8500</v>
      </c>
      <c r="F355" s="8">
        <f t="shared" si="16"/>
        <v>0</v>
      </c>
    </row>
    <row r="356" spans="2:6" x14ac:dyDescent="0.2">
      <c r="B356" s="35"/>
      <c r="C356" s="1" t="s">
        <v>73</v>
      </c>
      <c r="D356" s="57"/>
      <c r="E356" s="2">
        <v>8650</v>
      </c>
      <c r="F356" s="8">
        <f t="shared" si="16"/>
        <v>0</v>
      </c>
    </row>
    <row r="357" spans="2:6" x14ac:dyDescent="0.2">
      <c r="B357" s="35"/>
      <c r="C357" s="1" t="s">
        <v>76</v>
      </c>
      <c r="D357" s="57"/>
      <c r="E357" s="2">
        <v>9250</v>
      </c>
      <c r="F357" s="8">
        <f t="shared" si="16"/>
        <v>0</v>
      </c>
    </row>
    <row r="358" spans="2:6" x14ac:dyDescent="0.2">
      <c r="B358" s="35"/>
      <c r="C358" s="1" t="s">
        <v>74</v>
      </c>
      <c r="D358" s="57"/>
      <c r="E358" s="2">
        <v>3800</v>
      </c>
      <c r="F358" s="8">
        <f t="shared" si="16"/>
        <v>0</v>
      </c>
    </row>
    <row r="359" spans="2:6" x14ac:dyDescent="0.2">
      <c r="B359" s="19"/>
      <c r="C359" s="1" t="s">
        <v>85</v>
      </c>
      <c r="D359" s="57"/>
      <c r="E359" s="2">
        <v>7000</v>
      </c>
      <c r="F359" s="8">
        <f t="shared" si="16"/>
        <v>0</v>
      </c>
    </row>
    <row r="360" spans="2:6" x14ac:dyDescent="0.2">
      <c r="B360" s="35"/>
      <c r="C360" s="1" t="s">
        <v>99</v>
      </c>
      <c r="D360" s="57"/>
      <c r="E360" s="2">
        <v>216000</v>
      </c>
      <c r="F360" s="8">
        <f t="shared" si="16"/>
        <v>0</v>
      </c>
    </row>
    <row r="361" spans="2:6" x14ac:dyDescent="0.2">
      <c r="B361" s="72"/>
      <c r="C361" s="1" t="s">
        <v>108</v>
      </c>
      <c r="D361" s="71"/>
      <c r="E361" s="2">
        <v>9000</v>
      </c>
      <c r="F361" s="8">
        <f t="shared" si="16"/>
        <v>0</v>
      </c>
    </row>
    <row r="362" spans="2:6" x14ac:dyDescent="0.2">
      <c r="B362" s="35"/>
      <c r="C362" s="1" t="s">
        <v>104</v>
      </c>
      <c r="D362" s="57"/>
      <c r="E362" s="2"/>
      <c r="F362" s="8">
        <f t="shared" si="16"/>
        <v>0</v>
      </c>
    </row>
    <row r="363" spans="2:6" x14ac:dyDescent="0.2">
      <c r="B363" s="35"/>
      <c r="C363" s="1" t="s">
        <v>107</v>
      </c>
      <c r="D363" s="57"/>
      <c r="E363" s="2"/>
      <c r="F363" s="8">
        <f t="shared" si="16"/>
        <v>0</v>
      </c>
    </row>
    <row r="364" spans="2:6" x14ac:dyDescent="0.2">
      <c r="B364" s="35"/>
      <c r="C364" s="1"/>
      <c r="D364" s="57"/>
      <c r="E364" s="2"/>
      <c r="F364" s="8">
        <f t="shared" si="16"/>
        <v>0</v>
      </c>
    </row>
    <row r="365" spans="2:6" x14ac:dyDescent="0.2">
      <c r="B365" s="35"/>
      <c r="C365" s="1"/>
      <c r="D365" s="57"/>
      <c r="E365" s="2"/>
      <c r="F365" s="8">
        <f t="shared" si="16"/>
        <v>0</v>
      </c>
    </row>
    <row r="366" spans="2:6" x14ac:dyDescent="0.2">
      <c r="B366" s="35"/>
      <c r="C366" s="1"/>
      <c r="D366" s="57"/>
      <c r="E366" s="2"/>
      <c r="F366" s="8">
        <f t="shared" si="16"/>
        <v>0</v>
      </c>
    </row>
    <row r="367" spans="2:6" x14ac:dyDescent="0.2">
      <c r="B367" s="35"/>
      <c r="C367" s="1"/>
      <c r="D367" s="57"/>
      <c r="E367" s="2"/>
      <c r="F367" s="8">
        <f t="shared" si="16"/>
        <v>0</v>
      </c>
    </row>
    <row r="368" spans="2:6" x14ac:dyDescent="0.2">
      <c r="B368" s="9"/>
      <c r="C368" s="68"/>
      <c r="D368" s="57"/>
      <c r="E368" s="1"/>
      <c r="F368" s="8">
        <f t="shared" si="16"/>
        <v>0</v>
      </c>
    </row>
    <row r="369" spans="1:6" ht="15.75" thickBot="1" x14ac:dyDescent="0.25">
      <c r="B369" s="128" t="s">
        <v>12</v>
      </c>
      <c r="C369" s="129"/>
      <c r="D369" s="129"/>
      <c r="E369" s="130"/>
      <c r="F369" s="45">
        <f>SUM(F343:F368)</f>
        <v>447500</v>
      </c>
    </row>
    <row r="370" spans="1:6" x14ac:dyDescent="0.2">
      <c r="B370" s="131" t="s">
        <v>8</v>
      </c>
      <c r="C370" s="132"/>
      <c r="D370" s="132"/>
      <c r="E370" s="133"/>
      <c r="F370" s="17">
        <v>597500</v>
      </c>
    </row>
    <row r="371" spans="1:6" x14ac:dyDescent="0.2">
      <c r="B371" s="134" t="s">
        <v>9</v>
      </c>
      <c r="C371" s="135"/>
      <c r="D371" s="135"/>
      <c r="E371" s="92"/>
      <c r="F371" s="46">
        <f>F369+F370</f>
        <v>1045000</v>
      </c>
    </row>
    <row r="372" spans="1:6" x14ac:dyDescent="0.2">
      <c r="B372" s="134" t="s">
        <v>10</v>
      </c>
      <c r="C372" s="135"/>
      <c r="D372" s="135"/>
      <c r="E372" s="92"/>
      <c r="F372" s="8">
        <v>400000</v>
      </c>
    </row>
    <row r="373" spans="1:6" ht="15.75" thickBot="1" x14ac:dyDescent="0.25">
      <c r="B373" s="98" t="s">
        <v>11</v>
      </c>
      <c r="C373" s="99"/>
      <c r="D373" s="99"/>
      <c r="E373" s="100"/>
      <c r="F373" s="47">
        <f>F372-F371</f>
        <v>-645000</v>
      </c>
    </row>
    <row r="374" spans="1:6" ht="15.75" thickBot="1" x14ac:dyDescent="0.25"/>
    <row r="375" spans="1:6" x14ac:dyDescent="0.2">
      <c r="B375" s="6" t="s">
        <v>2</v>
      </c>
      <c r="C375" s="138" t="str">
        <f>E2</f>
        <v>Oktober Rabu 21 2026</v>
      </c>
      <c r="D375" s="139"/>
      <c r="E375" s="139"/>
      <c r="F375" s="140"/>
    </row>
    <row r="376" spans="1:6" x14ac:dyDescent="0.2">
      <c r="A376" s="31" t="s">
        <v>36</v>
      </c>
      <c r="B376" s="7" t="s">
        <v>0</v>
      </c>
      <c r="C376" s="124" t="s">
        <v>102</v>
      </c>
      <c r="D376" s="124"/>
      <c r="E376" s="124"/>
      <c r="F376" s="125"/>
    </row>
    <row r="377" spans="1:6" x14ac:dyDescent="0.2">
      <c r="B377" s="7" t="s">
        <v>1</v>
      </c>
      <c r="C377" s="124" t="s">
        <v>61</v>
      </c>
      <c r="D377" s="124"/>
      <c r="E377" s="124"/>
      <c r="F377" s="125"/>
    </row>
    <row r="378" spans="1:6" ht="15.75" thickBot="1" x14ac:dyDescent="0.25">
      <c r="B378" s="7"/>
      <c r="C378" s="126"/>
      <c r="D378" s="126"/>
      <c r="E378" s="126"/>
      <c r="F378" s="127"/>
    </row>
    <row r="379" spans="1:6" x14ac:dyDescent="0.2">
      <c r="B379" s="3" t="s">
        <v>3</v>
      </c>
      <c r="C379" s="4" t="s">
        <v>4</v>
      </c>
      <c r="D379" s="4" t="s">
        <v>5</v>
      </c>
      <c r="E379" s="4" t="s">
        <v>7</v>
      </c>
      <c r="F379" s="5" t="s">
        <v>6</v>
      </c>
    </row>
    <row r="380" spans="1:6" x14ac:dyDescent="0.2">
      <c r="B380" s="19"/>
      <c r="C380" s="1" t="s">
        <v>80</v>
      </c>
      <c r="D380" s="57"/>
      <c r="E380" s="2">
        <v>3800</v>
      </c>
      <c r="F380" s="8">
        <f>(B380-D380) *E380</f>
        <v>0</v>
      </c>
    </row>
    <row r="381" spans="1:6" x14ac:dyDescent="0.2">
      <c r="B381" s="19"/>
      <c r="C381" s="1" t="s">
        <v>16</v>
      </c>
      <c r="D381" s="57"/>
      <c r="E381" s="2">
        <v>9300</v>
      </c>
      <c r="F381" s="8">
        <f>(B381-D381) *E381</f>
        <v>0</v>
      </c>
    </row>
    <row r="382" spans="1:6" x14ac:dyDescent="0.2">
      <c r="B382" s="19"/>
      <c r="C382" s="1" t="s">
        <v>78</v>
      </c>
      <c r="D382" s="57"/>
      <c r="E382" s="2">
        <v>4800</v>
      </c>
      <c r="F382" s="8">
        <f>(B382-D382) *E382</f>
        <v>0</v>
      </c>
    </row>
    <row r="383" spans="1:6" x14ac:dyDescent="0.2">
      <c r="B383" s="19">
        <v>24</v>
      </c>
      <c r="C383" s="1" t="s">
        <v>79</v>
      </c>
      <c r="D383" s="57"/>
      <c r="E383" s="2">
        <v>9250</v>
      </c>
      <c r="F383" s="8">
        <f>(B383-D383) *E383</f>
        <v>222000</v>
      </c>
    </row>
    <row r="384" spans="1:6" x14ac:dyDescent="0.2">
      <c r="B384" s="19"/>
      <c r="C384" s="1" t="s">
        <v>17</v>
      </c>
      <c r="D384" s="57"/>
      <c r="E384" s="2">
        <v>17000</v>
      </c>
      <c r="F384" s="8">
        <f>(B384-D384) *E384</f>
        <v>0</v>
      </c>
    </row>
    <row r="385" spans="2:6" x14ac:dyDescent="0.2">
      <c r="B385" s="19"/>
      <c r="C385" s="1" t="s">
        <v>105</v>
      </c>
      <c r="D385" s="57"/>
      <c r="E385" s="2">
        <v>75000</v>
      </c>
      <c r="F385" s="8">
        <f t="shared" ref="F385:F405" si="17">(B385-D385) *E385</f>
        <v>0</v>
      </c>
    </row>
    <row r="386" spans="2:6" x14ac:dyDescent="0.2">
      <c r="B386" s="19"/>
      <c r="C386" s="1" t="s">
        <v>106</v>
      </c>
      <c r="D386" s="57"/>
      <c r="E386" s="2">
        <v>5000</v>
      </c>
      <c r="F386" s="8">
        <f t="shared" si="17"/>
        <v>0</v>
      </c>
    </row>
    <row r="387" spans="2:6" x14ac:dyDescent="0.2">
      <c r="B387" s="19"/>
      <c r="C387" s="1" t="s">
        <v>71</v>
      </c>
      <c r="D387" s="57"/>
      <c r="E387" s="2">
        <v>56000</v>
      </c>
      <c r="F387" s="8">
        <f t="shared" si="17"/>
        <v>0</v>
      </c>
    </row>
    <row r="388" spans="2:6" x14ac:dyDescent="0.2">
      <c r="B388" s="35"/>
      <c r="C388" s="1" t="s">
        <v>103</v>
      </c>
      <c r="D388" s="57"/>
      <c r="E388" s="2">
        <v>4500</v>
      </c>
      <c r="F388" s="8">
        <f t="shared" si="17"/>
        <v>0</v>
      </c>
    </row>
    <row r="389" spans="2:6" x14ac:dyDescent="0.2">
      <c r="B389" s="35"/>
      <c r="C389" s="1" t="s">
        <v>72</v>
      </c>
      <c r="D389" s="57"/>
      <c r="E389" s="2">
        <v>3800</v>
      </c>
      <c r="F389" s="8">
        <f t="shared" si="17"/>
        <v>0</v>
      </c>
    </row>
    <row r="390" spans="2:6" x14ac:dyDescent="0.2">
      <c r="B390" s="35"/>
      <c r="C390" s="1" t="s">
        <v>98</v>
      </c>
      <c r="D390" s="57"/>
      <c r="E390" s="2">
        <v>16000</v>
      </c>
      <c r="F390" s="8">
        <f t="shared" si="17"/>
        <v>0</v>
      </c>
    </row>
    <row r="391" spans="2:6" x14ac:dyDescent="0.2">
      <c r="B391" s="35"/>
      <c r="C391" s="1" t="s">
        <v>77</v>
      </c>
      <c r="D391" s="57"/>
      <c r="E391" s="2">
        <v>9250</v>
      </c>
      <c r="F391" s="8">
        <f t="shared" si="17"/>
        <v>0</v>
      </c>
    </row>
    <row r="392" spans="2:6" x14ac:dyDescent="0.2">
      <c r="B392" s="35"/>
      <c r="C392" s="1" t="s">
        <v>84</v>
      </c>
      <c r="D392" s="57"/>
      <c r="E392" s="2">
        <v>222000</v>
      </c>
      <c r="F392" s="8">
        <f t="shared" si="17"/>
        <v>0</v>
      </c>
    </row>
    <row r="393" spans="2:6" x14ac:dyDescent="0.2">
      <c r="B393" s="35">
        <v>40</v>
      </c>
      <c r="C393" s="1" t="s">
        <v>73</v>
      </c>
      <c r="D393" s="57"/>
      <c r="E393" s="2">
        <v>8650</v>
      </c>
      <c r="F393" s="8">
        <f t="shared" si="17"/>
        <v>346000</v>
      </c>
    </row>
    <row r="394" spans="2:6" x14ac:dyDescent="0.2">
      <c r="B394" s="35"/>
      <c r="C394" s="1" t="s">
        <v>76</v>
      </c>
      <c r="D394" s="57"/>
      <c r="E394" s="2">
        <v>9250</v>
      </c>
      <c r="F394" s="8">
        <f t="shared" si="17"/>
        <v>0</v>
      </c>
    </row>
    <row r="395" spans="2:6" x14ac:dyDescent="0.2">
      <c r="B395" s="35"/>
      <c r="C395" s="1" t="s">
        <v>74</v>
      </c>
      <c r="D395" s="57"/>
      <c r="E395" s="2">
        <v>3800</v>
      </c>
      <c r="F395" s="8">
        <f t="shared" si="17"/>
        <v>0</v>
      </c>
    </row>
    <row r="396" spans="2:6" x14ac:dyDescent="0.2">
      <c r="B396" s="19"/>
      <c r="C396" s="1" t="s">
        <v>85</v>
      </c>
      <c r="D396" s="57"/>
      <c r="E396" s="2">
        <v>3700</v>
      </c>
      <c r="F396" s="8">
        <f t="shared" si="17"/>
        <v>0</v>
      </c>
    </row>
    <row r="397" spans="2:6" x14ac:dyDescent="0.2">
      <c r="B397" s="72"/>
      <c r="C397" s="1" t="s">
        <v>99</v>
      </c>
      <c r="D397" s="71"/>
      <c r="E397" s="2">
        <v>8600</v>
      </c>
      <c r="F397" s="8">
        <f t="shared" si="17"/>
        <v>0</v>
      </c>
    </row>
    <row r="398" spans="2:6" x14ac:dyDescent="0.2">
      <c r="B398" s="72"/>
      <c r="C398" s="1" t="s">
        <v>108</v>
      </c>
      <c r="D398" s="71"/>
      <c r="E398" s="2">
        <v>9000</v>
      </c>
      <c r="F398" s="8">
        <f t="shared" si="17"/>
        <v>0</v>
      </c>
    </row>
    <row r="399" spans="2:6" x14ac:dyDescent="0.2">
      <c r="B399" s="72"/>
      <c r="C399" s="1" t="s">
        <v>104</v>
      </c>
      <c r="D399" s="71"/>
      <c r="E399" s="2"/>
      <c r="F399" s="8">
        <f t="shared" si="17"/>
        <v>0</v>
      </c>
    </row>
    <row r="400" spans="2:6" x14ac:dyDescent="0.2">
      <c r="B400" s="35"/>
      <c r="C400" s="1" t="s">
        <v>107</v>
      </c>
      <c r="D400" s="57"/>
      <c r="E400" s="2"/>
      <c r="F400" s="8">
        <f t="shared" si="17"/>
        <v>0</v>
      </c>
    </row>
    <row r="401" spans="1:6" x14ac:dyDescent="0.2">
      <c r="B401" s="35"/>
      <c r="C401" s="1"/>
      <c r="D401" s="57"/>
      <c r="E401" s="2"/>
      <c r="F401" s="8">
        <f t="shared" si="17"/>
        <v>0</v>
      </c>
    </row>
    <row r="402" spans="1:6" x14ac:dyDescent="0.2">
      <c r="B402" s="35"/>
      <c r="C402" s="1"/>
      <c r="D402" s="57"/>
      <c r="E402" s="2"/>
      <c r="F402" s="8">
        <f t="shared" si="17"/>
        <v>0</v>
      </c>
    </row>
    <row r="403" spans="1:6" x14ac:dyDescent="0.2">
      <c r="B403" s="35"/>
      <c r="C403" s="1"/>
      <c r="D403" s="57"/>
      <c r="E403" s="2"/>
      <c r="F403" s="8">
        <f t="shared" si="17"/>
        <v>0</v>
      </c>
    </row>
    <row r="404" spans="1:6" x14ac:dyDescent="0.2">
      <c r="B404" s="35"/>
      <c r="C404" s="1"/>
      <c r="D404" s="57"/>
      <c r="E404" s="2"/>
      <c r="F404" s="8">
        <f t="shared" si="17"/>
        <v>0</v>
      </c>
    </row>
    <row r="405" spans="1:6" x14ac:dyDescent="0.2">
      <c r="B405" s="9"/>
      <c r="C405" s="68"/>
      <c r="D405" s="57"/>
      <c r="E405" s="1"/>
      <c r="F405" s="8">
        <f t="shared" si="17"/>
        <v>0</v>
      </c>
    </row>
    <row r="406" spans="1:6" ht="15.75" thickBot="1" x14ac:dyDescent="0.25">
      <c r="B406" s="128" t="s">
        <v>12</v>
      </c>
      <c r="C406" s="129"/>
      <c r="D406" s="129"/>
      <c r="E406" s="130"/>
      <c r="F406" s="45">
        <f>SUM(F380:F405)</f>
        <v>568000</v>
      </c>
    </row>
    <row r="407" spans="1:6" x14ac:dyDescent="0.2">
      <c r="B407" s="131" t="s">
        <v>8</v>
      </c>
      <c r="C407" s="132"/>
      <c r="D407" s="132"/>
      <c r="E407" s="133"/>
      <c r="F407" s="17">
        <v>519000</v>
      </c>
    </row>
    <row r="408" spans="1:6" x14ac:dyDescent="0.2">
      <c r="B408" s="134" t="s">
        <v>9</v>
      </c>
      <c r="C408" s="135"/>
      <c r="D408" s="135"/>
      <c r="E408" s="92"/>
      <c r="F408" s="46">
        <f>F406+F407</f>
        <v>1087000</v>
      </c>
    </row>
    <row r="409" spans="1:6" x14ac:dyDescent="0.2">
      <c r="B409" s="134" t="s">
        <v>10</v>
      </c>
      <c r="C409" s="135"/>
      <c r="D409" s="135"/>
      <c r="E409" s="92"/>
      <c r="F409" s="8">
        <v>1087000</v>
      </c>
    </row>
    <row r="410" spans="1:6" ht="15.75" thickBot="1" x14ac:dyDescent="0.25">
      <c r="B410" s="98" t="s">
        <v>11</v>
      </c>
      <c r="C410" s="99"/>
      <c r="D410" s="99"/>
      <c r="E410" s="100"/>
      <c r="F410" s="47">
        <f>F409-F408</f>
        <v>0</v>
      </c>
    </row>
    <row r="411" spans="1:6" ht="15.75" thickBot="1" x14ac:dyDescent="0.25"/>
    <row r="412" spans="1:6" x14ac:dyDescent="0.2">
      <c r="B412" s="6" t="s">
        <v>2</v>
      </c>
      <c r="C412" s="138" t="str">
        <f>E2</f>
        <v>Oktober Rabu 21 2026</v>
      </c>
      <c r="D412" s="139"/>
      <c r="E412" s="139"/>
      <c r="F412" s="140"/>
    </row>
    <row r="413" spans="1:6" x14ac:dyDescent="0.2">
      <c r="A413" s="31">
        <v>12</v>
      </c>
      <c r="B413" s="7" t="s">
        <v>0</v>
      </c>
      <c r="C413" s="124" t="s">
        <v>83</v>
      </c>
      <c r="D413" s="124"/>
      <c r="E413" s="124"/>
      <c r="F413" s="125"/>
    </row>
    <row r="414" spans="1:6" x14ac:dyDescent="0.2">
      <c r="B414" s="7" t="s">
        <v>1</v>
      </c>
      <c r="C414" s="124" t="s">
        <v>52</v>
      </c>
      <c r="D414" s="124"/>
      <c r="E414" s="124"/>
      <c r="F414" s="125"/>
    </row>
    <row r="415" spans="1:6" ht="15.75" thickBot="1" x14ac:dyDescent="0.25">
      <c r="B415" s="7"/>
      <c r="C415" s="126"/>
      <c r="D415" s="126"/>
      <c r="E415" s="126"/>
      <c r="F415" s="127"/>
    </row>
    <row r="416" spans="1:6" x14ac:dyDescent="0.2">
      <c r="B416" s="3" t="s">
        <v>3</v>
      </c>
      <c r="C416" s="4" t="s">
        <v>4</v>
      </c>
      <c r="D416" s="4" t="s">
        <v>5</v>
      </c>
      <c r="E416" s="4" t="s">
        <v>7</v>
      </c>
      <c r="F416" s="5" t="s">
        <v>6</v>
      </c>
    </row>
    <row r="417" spans="2:7" x14ac:dyDescent="0.2">
      <c r="B417" s="19">
        <v>10</v>
      </c>
      <c r="C417" s="1" t="s">
        <v>80</v>
      </c>
      <c r="D417" s="57"/>
      <c r="E417" s="2">
        <v>3800</v>
      </c>
      <c r="F417" s="8">
        <f>(B417-D417) *E417</f>
        <v>38000</v>
      </c>
    </row>
    <row r="418" spans="2:7" x14ac:dyDescent="0.2">
      <c r="B418" s="35"/>
      <c r="C418" s="1" t="s">
        <v>16</v>
      </c>
      <c r="D418" s="57"/>
      <c r="E418" s="2">
        <v>9300</v>
      </c>
      <c r="F418" s="8">
        <f>(B418-D418) *E418</f>
        <v>0</v>
      </c>
    </row>
    <row r="419" spans="2:7" x14ac:dyDescent="0.2">
      <c r="B419" s="35"/>
      <c r="C419" s="1" t="s">
        <v>78</v>
      </c>
      <c r="D419" s="57"/>
      <c r="E419" s="2">
        <v>4800</v>
      </c>
      <c r="F419" s="8">
        <f>(B419-D419) *E419</f>
        <v>0</v>
      </c>
    </row>
    <row r="420" spans="2:7" x14ac:dyDescent="0.2">
      <c r="B420" s="35"/>
      <c r="C420" s="1" t="s">
        <v>79</v>
      </c>
      <c r="D420" s="57"/>
      <c r="E420" s="2">
        <v>222000</v>
      </c>
      <c r="F420" s="8">
        <f>(B420-D420) *E420</f>
        <v>0</v>
      </c>
    </row>
    <row r="421" spans="2:7" x14ac:dyDescent="0.2">
      <c r="B421" s="19"/>
      <c r="C421" s="1" t="s">
        <v>17</v>
      </c>
      <c r="D421" s="57"/>
      <c r="E421" s="2">
        <v>17000</v>
      </c>
      <c r="F421" s="8">
        <f>(B421-D421) *E421</f>
        <v>0</v>
      </c>
    </row>
    <row r="422" spans="2:7" x14ac:dyDescent="0.2">
      <c r="B422" s="19"/>
      <c r="C422" s="1" t="s">
        <v>105</v>
      </c>
      <c r="D422" s="57"/>
      <c r="E422" s="2">
        <v>75000</v>
      </c>
      <c r="F422" s="8">
        <f t="shared" ref="F422:F442" si="18">(B422-D422) *E422</f>
        <v>0</v>
      </c>
      <c r="G422">
        <v>423</v>
      </c>
    </row>
    <row r="423" spans="2:7" x14ac:dyDescent="0.2">
      <c r="B423" s="19"/>
      <c r="C423" s="1" t="s">
        <v>106</v>
      </c>
      <c r="D423" s="57"/>
      <c r="E423" s="2">
        <v>5000</v>
      </c>
      <c r="F423" s="8">
        <f t="shared" si="18"/>
        <v>0</v>
      </c>
    </row>
    <row r="424" spans="2:7" x14ac:dyDescent="0.2">
      <c r="B424" s="19"/>
      <c r="C424" s="1" t="s">
        <v>71</v>
      </c>
      <c r="D424" s="57"/>
      <c r="E424" s="2">
        <v>56000</v>
      </c>
      <c r="F424" s="8">
        <f t="shared" si="18"/>
        <v>0</v>
      </c>
    </row>
    <row r="425" spans="2:7" x14ac:dyDescent="0.2">
      <c r="B425" s="35"/>
      <c r="C425" s="1" t="s">
        <v>103</v>
      </c>
      <c r="D425" s="57"/>
      <c r="E425" s="2">
        <v>4500</v>
      </c>
      <c r="F425" s="8">
        <f t="shared" si="18"/>
        <v>0</v>
      </c>
    </row>
    <row r="426" spans="2:7" x14ac:dyDescent="0.2">
      <c r="B426" s="35"/>
      <c r="C426" s="1" t="s">
        <v>72</v>
      </c>
      <c r="D426" s="57"/>
      <c r="E426" s="2">
        <v>3800</v>
      </c>
      <c r="F426" s="8">
        <f t="shared" si="18"/>
        <v>0</v>
      </c>
    </row>
    <row r="427" spans="2:7" x14ac:dyDescent="0.2">
      <c r="B427" s="35"/>
      <c r="C427" s="1" t="s">
        <v>98</v>
      </c>
      <c r="D427" s="57"/>
      <c r="E427" s="2">
        <v>4700</v>
      </c>
      <c r="F427" s="8">
        <f t="shared" si="18"/>
        <v>0</v>
      </c>
    </row>
    <row r="428" spans="2:7" x14ac:dyDescent="0.2">
      <c r="B428" s="35"/>
      <c r="C428" s="1" t="s">
        <v>77</v>
      </c>
      <c r="D428" s="57"/>
      <c r="E428" s="2">
        <v>9250</v>
      </c>
      <c r="F428" s="8">
        <f t="shared" si="18"/>
        <v>0</v>
      </c>
    </row>
    <row r="429" spans="2:7" x14ac:dyDescent="0.2">
      <c r="B429" s="35"/>
      <c r="C429" s="1" t="s">
        <v>84</v>
      </c>
      <c r="D429" s="57"/>
      <c r="E429" s="2">
        <v>8500</v>
      </c>
      <c r="F429" s="8">
        <f t="shared" si="18"/>
        <v>0</v>
      </c>
    </row>
    <row r="430" spans="2:7" x14ac:dyDescent="0.2">
      <c r="B430" s="35"/>
      <c r="C430" s="1" t="s">
        <v>73</v>
      </c>
      <c r="D430" s="57"/>
      <c r="E430" s="2">
        <v>8650</v>
      </c>
      <c r="F430" s="8">
        <f t="shared" si="18"/>
        <v>0</v>
      </c>
    </row>
    <row r="431" spans="2:7" x14ac:dyDescent="0.2">
      <c r="B431" s="35"/>
      <c r="C431" s="1" t="s">
        <v>76</v>
      </c>
      <c r="D431" s="57"/>
      <c r="E431" s="2">
        <v>9250</v>
      </c>
      <c r="F431" s="8">
        <f t="shared" si="18"/>
        <v>0</v>
      </c>
    </row>
    <row r="432" spans="2:7" x14ac:dyDescent="0.2">
      <c r="B432" s="35"/>
      <c r="C432" s="1" t="s">
        <v>74</v>
      </c>
      <c r="D432" s="57"/>
      <c r="E432" s="2">
        <v>3800</v>
      </c>
      <c r="F432" s="8">
        <f t="shared" si="18"/>
        <v>0</v>
      </c>
    </row>
    <row r="433" spans="2:6" x14ac:dyDescent="0.2">
      <c r="B433" s="72"/>
      <c r="C433" s="1" t="s">
        <v>85</v>
      </c>
      <c r="D433" s="71"/>
      <c r="E433" s="2">
        <v>3700</v>
      </c>
      <c r="F433" s="8">
        <f t="shared" si="18"/>
        <v>0</v>
      </c>
    </row>
    <row r="434" spans="2:6" x14ac:dyDescent="0.2">
      <c r="B434" s="72"/>
      <c r="C434" s="1" t="s">
        <v>99</v>
      </c>
      <c r="D434" s="71"/>
      <c r="E434" s="2">
        <v>216000</v>
      </c>
      <c r="F434" s="8">
        <f t="shared" si="18"/>
        <v>0</v>
      </c>
    </row>
    <row r="435" spans="2:6" x14ac:dyDescent="0.2">
      <c r="B435" s="72"/>
      <c r="C435" s="1" t="s">
        <v>108</v>
      </c>
      <c r="D435" s="71"/>
      <c r="E435" s="2">
        <v>9000</v>
      </c>
      <c r="F435" s="8">
        <f t="shared" si="18"/>
        <v>0</v>
      </c>
    </row>
    <row r="436" spans="2:6" x14ac:dyDescent="0.2">
      <c r="B436" s="72"/>
      <c r="C436" s="1" t="s">
        <v>104</v>
      </c>
      <c r="D436" s="71"/>
      <c r="E436" s="2"/>
      <c r="F436" s="8">
        <f t="shared" si="18"/>
        <v>0</v>
      </c>
    </row>
    <row r="437" spans="2:6" x14ac:dyDescent="0.2">
      <c r="B437" s="35"/>
      <c r="C437" s="1" t="s">
        <v>107</v>
      </c>
      <c r="D437" s="57"/>
      <c r="E437" s="2"/>
      <c r="F437" s="8">
        <f t="shared" si="18"/>
        <v>0</v>
      </c>
    </row>
    <row r="438" spans="2:6" x14ac:dyDescent="0.2">
      <c r="B438" s="35"/>
      <c r="C438" s="1"/>
      <c r="D438" s="57"/>
      <c r="E438" s="2"/>
      <c r="F438" s="8">
        <f t="shared" si="18"/>
        <v>0</v>
      </c>
    </row>
    <row r="439" spans="2:6" x14ac:dyDescent="0.2">
      <c r="B439" s="35"/>
      <c r="C439" s="1"/>
      <c r="D439" s="57"/>
      <c r="E439" s="2"/>
      <c r="F439" s="8">
        <f t="shared" si="18"/>
        <v>0</v>
      </c>
    </row>
    <row r="440" spans="2:6" x14ac:dyDescent="0.2">
      <c r="B440" s="35"/>
      <c r="C440" s="1"/>
      <c r="D440" s="57"/>
      <c r="E440" s="2"/>
      <c r="F440" s="8">
        <f t="shared" si="18"/>
        <v>0</v>
      </c>
    </row>
    <row r="441" spans="2:6" x14ac:dyDescent="0.2">
      <c r="B441" s="35"/>
      <c r="C441" s="1"/>
      <c r="D441" s="57"/>
      <c r="E441" s="2"/>
      <c r="F441" s="8">
        <f t="shared" si="18"/>
        <v>0</v>
      </c>
    </row>
    <row r="442" spans="2:6" x14ac:dyDescent="0.2">
      <c r="B442" s="9"/>
      <c r="C442" s="68"/>
      <c r="D442" s="57"/>
      <c r="E442" s="1"/>
      <c r="F442" s="8">
        <f t="shared" si="18"/>
        <v>0</v>
      </c>
    </row>
    <row r="443" spans="2:6" ht="15.75" thickBot="1" x14ac:dyDescent="0.25">
      <c r="B443" s="128" t="s">
        <v>12</v>
      </c>
      <c r="C443" s="129"/>
      <c r="D443" s="129"/>
      <c r="E443" s="130"/>
      <c r="F443" s="45">
        <f>SUM(F417:F442)</f>
        <v>38000</v>
      </c>
    </row>
    <row r="444" spans="2:6" x14ac:dyDescent="0.2">
      <c r="B444" s="131" t="s">
        <v>8</v>
      </c>
      <c r="C444" s="132"/>
      <c r="D444" s="132"/>
      <c r="E444" s="133"/>
      <c r="F444" s="17">
        <v>132500</v>
      </c>
    </row>
    <row r="445" spans="2:6" x14ac:dyDescent="0.2">
      <c r="B445" s="134" t="s">
        <v>9</v>
      </c>
      <c r="C445" s="135"/>
      <c r="D445" s="135"/>
      <c r="E445" s="92"/>
      <c r="F445" s="46">
        <f>F443+F444</f>
        <v>170500</v>
      </c>
    </row>
    <row r="446" spans="2:6" x14ac:dyDescent="0.2">
      <c r="B446" s="134" t="s">
        <v>10</v>
      </c>
      <c r="C446" s="135"/>
      <c r="D446" s="135"/>
      <c r="E446" s="92"/>
      <c r="F446" s="8">
        <v>0</v>
      </c>
    </row>
    <row r="447" spans="2:6" ht="15.75" thickBot="1" x14ac:dyDescent="0.25">
      <c r="B447" s="98" t="s">
        <v>11</v>
      </c>
      <c r="C447" s="99"/>
      <c r="D447" s="99"/>
      <c r="E447" s="100"/>
      <c r="F447" s="47">
        <f>F446-F445</f>
        <v>-170500</v>
      </c>
    </row>
    <row r="448" spans="2:6" ht="15.75" thickBot="1" x14ac:dyDescent="0.25"/>
    <row r="449" spans="1:6" x14ac:dyDescent="0.2">
      <c r="B449" s="6" t="s">
        <v>2</v>
      </c>
      <c r="C449" s="138" t="str">
        <f>E2</f>
        <v>Oktober Rabu 21 2026</v>
      </c>
      <c r="D449" s="139"/>
      <c r="E449" s="139"/>
      <c r="F449" s="140"/>
    </row>
    <row r="450" spans="1:6" x14ac:dyDescent="0.2">
      <c r="A450" s="31" t="s">
        <v>37</v>
      </c>
      <c r="B450" s="7" t="s">
        <v>0</v>
      </c>
      <c r="C450" s="124" t="s">
        <v>89</v>
      </c>
      <c r="D450" s="124"/>
      <c r="E450" s="124"/>
      <c r="F450" s="125"/>
    </row>
    <row r="451" spans="1:6" x14ac:dyDescent="0.2">
      <c r="B451" s="7" t="s">
        <v>1</v>
      </c>
      <c r="C451" s="124" t="s">
        <v>62</v>
      </c>
      <c r="D451" s="124"/>
      <c r="E451" s="124"/>
      <c r="F451" s="125"/>
    </row>
    <row r="452" spans="1:6" ht="15.75" thickBot="1" x14ac:dyDescent="0.25">
      <c r="B452" s="7"/>
      <c r="C452" s="126"/>
      <c r="D452" s="126"/>
      <c r="E452" s="126"/>
      <c r="F452" s="127"/>
    </row>
    <row r="453" spans="1:6" x14ac:dyDescent="0.2">
      <c r="B453" s="3" t="s">
        <v>3</v>
      </c>
      <c r="C453" s="4" t="s">
        <v>4</v>
      </c>
      <c r="D453" s="4" t="s">
        <v>5</v>
      </c>
      <c r="E453" s="4" t="s">
        <v>7</v>
      </c>
      <c r="F453" s="5" t="s">
        <v>6</v>
      </c>
    </row>
    <row r="454" spans="1:6" x14ac:dyDescent="0.2">
      <c r="B454" s="19"/>
      <c r="C454" s="1" t="s">
        <v>80</v>
      </c>
      <c r="D454" s="57"/>
      <c r="E454" s="2">
        <v>3800</v>
      </c>
      <c r="F454" s="8">
        <f>(B454-D454) *E454</f>
        <v>0</v>
      </c>
    </row>
    <row r="455" spans="1:6" x14ac:dyDescent="0.2">
      <c r="B455" s="19"/>
      <c r="C455" s="1" t="s">
        <v>16</v>
      </c>
      <c r="D455" s="57"/>
      <c r="E455" s="2">
        <v>9300</v>
      </c>
      <c r="F455" s="8">
        <f>(B455-D455) *E455</f>
        <v>0</v>
      </c>
    </row>
    <row r="456" spans="1:6" x14ac:dyDescent="0.2">
      <c r="B456" s="19"/>
      <c r="C456" s="1" t="s">
        <v>78</v>
      </c>
      <c r="D456" s="57"/>
      <c r="E456" s="2">
        <v>4800</v>
      </c>
      <c r="F456" s="8">
        <f>(B456-D456) *E456</f>
        <v>0</v>
      </c>
    </row>
    <row r="457" spans="1:6" x14ac:dyDescent="0.2">
      <c r="B457" s="19"/>
      <c r="C457" s="1" t="s">
        <v>79</v>
      </c>
      <c r="D457" s="57"/>
      <c r="E457" s="2">
        <v>9250</v>
      </c>
      <c r="F457" s="8">
        <f>(B457-D457) *E457</f>
        <v>0</v>
      </c>
    </row>
    <row r="458" spans="1:6" x14ac:dyDescent="0.2">
      <c r="B458" s="19"/>
      <c r="C458" s="1" t="s">
        <v>17</v>
      </c>
      <c r="D458" s="57"/>
      <c r="E458" s="2">
        <v>17000</v>
      </c>
      <c r="F458" s="8">
        <f>(B458-D458) *E458</f>
        <v>0</v>
      </c>
    </row>
    <row r="459" spans="1:6" x14ac:dyDescent="0.2">
      <c r="B459" s="19"/>
      <c r="C459" s="1" t="s">
        <v>105</v>
      </c>
      <c r="D459" s="57"/>
      <c r="E459" s="2">
        <v>75000</v>
      </c>
      <c r="F459" s="8">
        <f t="shared" ref="F459:F479" si="19">(B459-D459) *E459</f>
        <v>0</v>
      </c>
    </row>
    <row r="460" spans="1:6" x14ac:dyDescent="0.2">
      <c r="B460" s="19"/>
      <c r="C460" s="1" t="s">
        <v>106</v>
      </c>
      <c r="D460" s="57"/>
      <c r="E460" s="2">
        <v>5000</v>
      </c>
      <c r="F460" s="8">
        <f t="shared" si="19"/>
        <v>0</v>
      </c>
    </row>
    <row r="461" spans="1:6" x14ac:dyDescent="0.2">
      <c r="B461" s="19"/>
      <c r="C461" s="1" t="s">
        <v>71</v>
      </c>
      <c r="D461" s="57"/>
      <c r="E461" s="2">
        <v>56000</v>
      </c>
      <c r="F461" s="8">
        <f t="shared" si="19"/>
        <v>0</v>
      </c>
    </row>
    <row r="462" spans="1:6" x14ac:dyDescent="0.2">
      <c r="B462" s="35"/>
      <c r="C462" s="1" t="s">
        <v>103</v>
      </c>
      <c r="D462" s="57"/>
      <c r="E462" s="2">
        <v>4500</v>
      </c>
      <c r="F462" s="8">
        <f t="shared" si="19"/>
        <v>0</v>
      </c>
    </row>
    <row r="463" spans="1:6" x14ac:dyDescent="0.2">
      <c r="B463" s="35"/>
      <c r="C463" s="1" t="s">
        <v>72</v>
      </c>
      <c r="D463" s="57"/>
      <c r="E463" s="2">
        <v>3800</v>
      </c>
      <c r="F463" s="8">
        <f t="shared" si="19"/>
        <v>0</v>
      </c>
    </row>
    <row r="464" spans="1:6" x14ac:dyDescent="0.2">
      <c r="B464" s="35"/>
      <c r="C464" s="1" t="s">
        <v>98</v>
      </c>
      <c r="D464" s="57"/>
      <c r="E464" s="2">
        <v>22500</v>
      </c>
      <c r="F464" s="8">
        <f t="shared" si="19"/>
        <v>0</v>
      </c>
    </row>
    <row r="465" spans="2:6" x14ac:dyDescent="0.2">
      <c r="B465" s="35"/>
      <c r="C465" s="1" t="s">
        <v>77</v>
      </c>
      <c r="D465" s="57"/>
      <c r="E465" s="2">
        <v>9250</v>
      </c>
      <c r="F465" s="8">
        <f t="shared" si="19"/>
        <v>0</v>
      </c>
    </row>
    <row r="466" spans="2:6" x14ac:dyDescent="0.2">
      <c r="B466" s="35"/>
      <c r="C466" s="1" t="s">
        <v>84</v>
      </c>
      <c r="D466" s="57"/>
      <c r="E466" s="2">
        <v>8500</v>
      </c>
      <c r="F466" s="8">
        <f t="shared" si="19"/>
        <v>0</v>
      </c>
    </row>
    <row r="467" spans="2:6" x14ac:dyDescent="0.2">
      <c r="B467" s="35"/>
      <c r="C467" s="1" t="s">
        <v>73</v>
      </c>
      <c r="D467" s="57"/>
      <c r="E467" s="2">
        <v>8650</v>
      </c>
      <c r="F467" s="8">
        <f t="shared" si="19"/>
        <v>0</v>
      </c>
    </row>
    <row r="468" spans="2:6" x14ac:dyDescent="0.2">
      <c r="B468" s="35"/>
      <c r="C468" s="1" t="s">
        <v>76</v>
      </c>
      <c r="D468" s="57"/>
      <c r="E468" s="2">
        <v>9250</v>
      </c>
      <c r="F468" s="8">
        <f t="shared" si="19"/>
        <v>0</v>
      </c>
    </row>
    <row r="469" spans="2:6" x14ac:dyDescent="0.2">
      <c r="B469" s="35"/>
      <c r="C469" s="1" t="s">
        <v>74</v>
      </c>
      <c r="D469" s="57"/>
      <c r="E469" s="2">
        <v>3800</v>
      </c>
      <c r="F469" s="8">
        <f t="shared" si="19"/>
        <v>0</v>
      </c>
    </row>
    <row r="470" spans="2:6" x14ac:dyDescent="0.2">
      <c r="B470" s="19"/>
      <c r="C470" s="1" t="s">
        <v>85</v>
      </c>
      <c r="D470" s="57"/>
      <c r="E470" s="2">
        <v>6300</v>
      </c>
      <c r="F470" s="8">
        <f t="shared" si="19"/>
        <v>0</v>
      </c>
    </row>
    <row r="471" spans="2:6" x14ac:dyDescent="0.2">
      <c r="B471" s="72"/>
      <c r="C471" s="1" t="s">
        <v>99</v>
      </c>
      <c r="D471" s="71"/>
      <c r="E471" s="2">
        <v>9000</v>
      </c>
      <c r="F471" s="8">
        <f t="shared" si="19"/>
        <v>0</v>
      </c>
    </row>
    <row r="472" spans="2:6" x14ac:dyDescent="0.2">
      <c r="B472" s="72"/>
      <c r="C472" s="1" t="s">
        <v>108</v>
      </c>
      <c r="D472" s="71"/>
      <c r="E472" s="2">
        <v>16500</v>
      </c>
      <c r="F472" s="8">
        <f t="shared" si="19"/>
        <v>0</v>
      </c>
    </row>
    <row r="473" spans="2:6" x14ac:dyDescent="0.2">
      <c r="B473" s="72"/>
      <c r="C473" s="1" t="s">
        <v>104</v>
      </c>
      <c r="D473" s="71"/>
      <c r="E473" s="2"/>
      <c r="F473" s="8">
        <f t="shared" si="19"/>
        <v>0</v>
      </c>
    </row>
    <row r="474" spans="2:6" x14ac:dyDescent="0.2">
      <c r="B474" s="35"/>
      <c r="C474" s="1" t="s">
        <v>107</v>
      </c>
      <c r="D474" s="57"/>
      <c r="E474" s="2"/>
      <c r="F474" s="8">
        <f t="shared" si="19"/>
        <v>0</v>
      </c>
    </row>
    <row r="475" spans="2:6" x14ac:dyDescent="0.2">
      <c r="B475" s="35"/>
      <c r="C475" s="1"/>
      <c r="D475" s="57"/>
      <c r="E475" s="2"/>
      <c r="F475" s="8">
        <f t="shared" si="19"/>
        <v>0</v>
      </c>
    </row>
    <row r="476" spans="2:6" x14ac:dyDescent="0.2">
      <c r="B476" s="35"/>
      <c r="C476" s="1"/>
      <c r="D476" s="57"/>
      <c r="E476" s="2"/>
      <c r="F476" s="8">
        <f t="shared" si="19"/>
        <v>0</v>
      </c>
    </row>
    <row r="477" spans="2:6" x14ac:dyDescent="0.2">
      <c r="B477" s="35"/>
      <c r="C477" s="1"/>
      <c r="D477" s="57"/>
      <c r="E477" s="2"/>
      <c r="F477" s="8">
        <f t="shared" si="19"/>
        <v>0</v>
      </c>
    </row>
    <row r="478" spans="2:6" x14ac:dyDescent="0.2">
      <c r="B478" s="35"/>
      <c r="C478" s="1"/>
      <c r="D478" s="57"/>
      <c r="E478" s="2"/>
      <c r="F478" s="8">
        <f t="shared" si="19"/>
        <v>0</v>
      </c>
    </row>
    <row r="479" spans="2:6" x14ac:dyDescent="0.2">
      <c r="B479" s="9"/>
      <c r="C479" s="68"/>
      <c r="D479" s="57"/>
      <c r="E479" s="1"/>
      <c r="F479" s="8">
        <f t="shared" si="19"/>
        <v>0</v>
      </c>
    </row>
    <row r="480" spans="2:6" ht="15.75" thickBot="1" x14ac:dyDescent="0.25">
      <c r="B480" s="128" t="s">
        <v>12</v>
      </c>
      <c r="C480" s="129"/>
      <c r="D480" s="129"/>
      <c r="E480" s="130"/>
      <c r="F480" s="45">
        <f>SUM(F454:F479)</f>
        <v>0</v>
      </c>
    </row>
    <row r="481" spans="1:6" x14ac:dyDescent="0.2">
      <c r="B481" s="131" t="s">
        <v>8</v>
      </c>
      <c r="C481" s="132"/>
      <c r="D481" s="132"/>
      <c r="E481" s="133"/>
      <c r="F481" s="17">
        <v>185000</v>
      </c>
    </row>
    <row r="482" spans="1:6" x14ac:dyDescent="0.2">
      <c r="B482" s="134" t="s">
        <v>9</v>
      </c>
      <c r="C482" s="135"/>
      <c r="D482" s="135"/>
      <c r="E482" s="92"/>
      <c r="F482" s="46">
        <f>F480+F481</f>
        <v>185000</v>
      </c>
    </row>
    <row r="483" spans="1:6" x14ac:dyDescent="0.2">
      <c r="B483" s="134" t="s">
        <v>10</v>
      </c>
      <c r="C483" s="135"/>
      <c r="D483" s="135"/>
      <c r="E483" s="92"/>
      <c r="F483" s="8">
        <v>0</v>
      </c>
    </row>
    <row r="484" spans="1:6" ht="15.75" thickBot="1" x14ac:dyDescent="0.25">
      <c r="B484" s="98" t="s">
        <v>11</v>
      </c>
      <c r="C484" s="99"/>
      <c r="D484" s="99"/>
      <c r="E484" s="100"/>
      <c r="F484" s="47">
        <f>F483-F482</f>
        <v>-185000</v>
      </c>
    </row>
    <row r="485" spans="1:6" ht="15.75" thickBot="1" x14ac:dyDescent="0.25"/>
    <row r="486" spans="1:6" x14ac:dyDescent="0.2">
      <c r="B486" s="6" t="s">
        <v>2</v>
      </c>
      <c r="C486" s="138" t="str">
        <f>E2</f>
        <v>Oktober Rabu 21 2026</v>
      </c>
      <c r="D486" s="139"/>
      <c r="E486" s="139"/>
      <c r="F486" s="140"/>
    </row>
    <row r="487" spans="1:6" x14ac:dyDescent="0.2">
      <c r="A487" s="32" t="s">
        <v>38</v>
      </c>
      <c r="B487" s="7" t="s">
        <v>0</v>
      </c>
      <c r="C487" s="124" t="s">
        <v>93</v>
      </c>
      <c r="D487" s="124"/>
      <c r="E487" s="124"/>
      <c r="F487" s="125"/>
    </row>
    <row r="488" spans="1:6" x14ac:dyDescent="0.2">
      <c r="B488" s="7" t="s">
        <v>1</v>
      </c>
      <c r="C488" s="124" t="s">
        <v>61</v>
      </c>
      <c r="D488" s="124"/>
      <c r="E488" s="124"/>
      <c r="F488" s="125"/>
    </row>
    <row r="489" spans="1:6" ht="15.75" thickBot="1" x14ac:dyDescent="0.25">
      <c r="B489" s="7"/>
      <c r="C489" s="126"/>
      <c r="D489" s="126"/>
      <c r="E489" s="126"/>
      <c r="F489" s="127"/>
    </row>
    <row r="490" spans="1:6" x14ac:dyDescent="0.2">
      <c r="B490" s="3" t="s">
        <v>3</v>
      </c>
      <c r="C490" s="4" t="s">
        <v>4</v>
      </c>
      <c r="D490" s="4" t="s">
        <v>5</v>
      </c>
      <c r="E490" s="4" t="s">
        <v>7</v>
      </c>
      <c r="F490" s="5" t="s">
        <v>6</v>
      </c>
    </row>
    <row r="491" spans="1:6" x14ac:dyDescent="0.2">
      <c r="B491" s="19"/>
      <c r="C491" s="1" t="s">
        <v>80</v>
      </c>
      <c r="D491" s="57"/>
      <c r="E491" s="2">
        <v>3800</v>
      </c>
      <c r="F491" s="8">
        <f>(B491-D491) *E491</f>
        <v>0</v>
      </c>
    </row>
    <row r="492" spans="1:6" x14ac:dyDescent="0.2">
      <c r="B492" s="19"/>
      <c r="C492" s="1" t="s">
        <v>16</v>
      </c>
      <c r="D492" s="57"/>
      <c r="E492" s="2">
        <v>9300</v>
      </c>
      <c r="F492" s="8">
        <f>(B492-D492) *E492</f>
        <v>0</v>
      </c>
    </row>
    <row r="493" spans="1:6" x14ac:dyDescent="0.2">
      <c r="B493" s="19"/>
      <c r="C493" s="1" t="s">
        <v>78</v>
      </c>
      <c r="D493" s="57"/>
      <c r="E493" s="2">
        <v>4800</v>
      </c>
      <c r="F493" s="8">
        <f>(B493-D493) *E493</f>
        <v>0</v>
      </c>
    </row>
    <row r="494" spans="1:6" x14ac:dyDescent="0.2">
      <c r="B494" s="19"/>
      <c r="C494" s="1" t="s">
        <v>79</v>
      </c>
      <c r="D494" s="57"/>
      <c r="E494" s="2">
        <v>222000</v>
      </c>
      <c r="F494" s="8">
        <f>(B494-D494) *E494</f>
        <v>0</v>
      </c>
    </row>
    <row r="495" spans="1:6" x14ac:dyDescent="0.2">
      <c r="B495" s="19"/>
      <c r="C495" s="1" t="s">
        <v>17</v>
      </c>
      <c r="D495" s="57"/>
      <c r="E495" s="2">
        <v>17000</v>
      </c>
      <c r="F495" s="8">
        <f>(B495-D495) *E495</f>
        <v>0</v>
      </c>
    </row>
    <row r="496" spans="1:6" x14ac:dyDescent="0.2">
      <c r="B496" s="19"/>
      <c r="C496" s="1" t="s">
        <v>105</v>
      </c>
      <c r="D496" s="57"/>
      <c r="E496" s="2">
        <v>75000</v>
      </c>
      <c r="F496" s="8">
        <f t="shared" ref="F496:F516" si="20">(B496-D496) *E496</f>
        <v>0</v>
      </c>
    </row>
    <row r="497" spans="2:6" x14ac:dyDescent="0.2">
      <c r="B497" s="19"/>
      <c r="C497" s="1" t="s">
        <v>106</v>
      </c>
      <c r="D497" s="57"/>
      <c r="E497" s="2">
        <v>5000</v>
      </c>
      <c r="F497" s="8">
        <f t="shared" si="20"/>
        <v>0</v>
      </c>
    </row>
    <row r="498" spans="2:6" x14ac:dyDescent="0.2">
      <c r="B498" s="19"/>
      <c r="C498" s="1" t="s">
        <v>71</v>
      </c>
      <c r="D498" s="57"/>
      <c r="E498" s="2">
        <v>56000</v>
      </c>
      <c r="F498" s="8">
        <f t="shared" si="20"/>
        <v>0</v>
      </c>
    </row>
    <row r="499" spans="2:6" x14ac:dyDescent="0.2">
      <c r="B499" s="35"/>
      <c r="C499" s="1" t="s">
        <v>103</v>
      </c>
      <c r="D499" s="57"/>
      <c r="E499" s="2">
        <v>4500</v>
      </c>
      <c r="F499" s="8">
        <f t="shared" si="20"/>
        <v>0</v>
      </c>
    </row>
    <row r="500" spans="2:6" x14ac:dyDescent="0.2">
      <c r="B500" s="35"/>
      <c r="C500" s="1" t="s">
        <v>72</v>
      </c>
      <c r="D500" s="57"/>
      <c r="E500" s="2">
        <v>3800</v>
      </c>
      <c r="F500" s="8">
        <f t="shared" si="20"/>
        <v>0</v>
      </c>
    </row>
    <row r="501" spans="2:6" x14ac:dyDescent="0.2">
      <c r="B501" s="35"/>
      <c r="C501" s="1" t="s">
        <v>98</v>
      </c>
      <c r="D501" s="57"/>
      <c r="E501" s="2">
        <v>4700</v>
      </c>
      <c r="F501" s="8">
        <f t="shared" si="20"/>
        <v>0</v>
      </c>
    </row>
    <row r="502" spans="2:6" x14ac:dyDescent="0.2">
      <c r="B502" s="35"/>
      <c r="C502" s="1" t="s">
        <v>77</v>
      </c>
      <c r="D502" s="57"/>
      <c r="E502" s="2">
        <v>9250</v>
      </c>
      <c r="F502" s="8">
        <f t="shared" si="20"/>
        <v>0</v>
      </c>
    </row>
    <row r="503" spans="2:6" x14ac:dyDescent="0.2">
      <c r="B503" s="35"/>
      <c r="C503" s="1" t="s">
        <v>84</v>
      </c>
      <c r="D503" s="57"/>
      <c r="E503" s="2">
        <v>8500</v>
      </c>
      <c r="F503" s="8">
        <f t="shared" si="20"/>
        <v>0</v>
      </c>
    </row>
    <row r="504" spans="2:6" x14ac:dyDescent="0.2">
      <c r="B504" s="35"/>
      <c r="C504" s="1" t="s">
        <v>73</v>
      </c>
      <c r="D504" s="57"/>
      <c r="E504" s="2">
        <v>8650</v>
      </c>
      <c r="F504" s="8">
        <f t="shared" si="20"/>
        <v>0</v>
      </c>
    </row>
    <row r="505" spans="2:6" x14ac:dyDescent="0.2">
      <c r="B505" s="35"/>
      <c r="C505" s="1" t="s">
        <v>76</v>
      </c>
      <c r="D505" s="57"/>
      <c r="E505" s="2">
        <v>9250</v>
      </c>
      <c r="F505" s="8">
        <f t="shared" si="20"/>
        <v>0</v>
      </c>
    </row>
    <row r="506" spans="2:6" x14ac:dyDescent="0.2">
      <c r="B506" s="35"/>
      <c r="C506" s="1" t="s">
        <v>74</v>
      </c>
      <c r="D506" s="57"/>
      <c r="E506" s="2">
        <v>3800</v>
      </c>
      <c r="F506" s="8">
        <f t="shared" si="20"/>
        <v>0</v>
      </c>
    </row>
    <row r="507" spans="2:6" x14ac:dyDescent="0.2">
      <c r="B507" s="72"/>
      <c r="C507" s="1" t="s">
        <v>85</v>
      </c>
      <c r="D507" s="71"/>
      <c r="E507" s="2">
        <v>3700</v>
      </c>
      <c r="F507" s="8">
        <f t="shared" si="20"/>
        <v>0</v>
      </c>
    </row>
    <row r="508" spans="2:6" x14ac:dyDescent="0.2">
      <c r="B508" s="72"/>
      <c r="C508" s="1" t="s">
        <v>99</v>
      </c>
      <c r="D508" s="71"/>
      <c r="E508" s="2">
        <v>216000</v>
      </c>
      <c r="F508" s="8">
        <f t="shared" si="20"/>
        <v>0</v>
      </c>
    </row>
    <row r="509" spans="2:6" x14ac:dyDescent="0.2">
      <c r="B509" s="72"/>
      <c r="C509" s="1" t="s">
        <v>108</v>
      </c>
      <c r="D509" s="71"/>
      <c r="E509" s="2">
        <v>9000</v>
      </c>
      <c r="F509" s="8">
        <f t="shared" si="20"/>
        <v>0</v>
      </c>
    </row>
    <row r="510" spans="2:6" x14ac:dyDescent="0.2">
      <c r="B510" s="35"/>
      <c r="C510" s="1" t="s">
        <v>104</v>
      </c>
      <c r="D510" s="57"/>
      <c r="E510" s="2"/>
      <c r="F510" s="8">
        <f t="shared" si="20"/>
        <v>0</v>
      </c>
    </row>
    <row r="511" spans="2:6" x14ac:dyDescent="0.2">
      <c r="B511" s="35"/>
      <c r="C511" s="1" t="s">
        <v>107</v>
      </c>
      <c r="D511" s="57"/>
      <c r="E511" s="2"/>
      <c r="F511" s="8">
        <f t="shared" si="20"/>
        <v>0</v>
      </c>
    </row>
    <row r="512" spans="2:6" x14ac:dyDescent="0.2">
      <c r="B512" s="35"/>
      <c r="C512" s="1"/>
      <c r="D512" s="57"/>
      <c r="E512" s="2"/>
      <c r="F512" s="8">
        <f t="shared" si="20"/>
        <v>0</v>
      </c>
    </row>
    <row r="513" spans="1:6" x14ac:dyDescent="0.2">
      <c r="B513" s="35"/>
      <c r="C513" s="1"/>
      <c r="D513" s="57"/>
      <c r="E513" s="2"/>
      <c r="F513" s="8">
        <f t="shared" si="20"/>
        <v>0</v>
      </c>
    </row>
    <row r="514" spans="1:6" x14ac:dyDescent="0.2">
      <c r="B514" s="35"/>
      <c r="C514" s="1"/>
      <c r="D514" s="57"/>
      <c r="E514" s="2"/>
      <c r="F514" s="8">
        <f t="shared" si="20"/>
        <v>0</v>
      </c>
    </row>
    <row r="515" spans="1:6" x14ac:dyDescent="0.2">
      <c r="B515" s="35"/>
      <c r="C515" s="1"/>
      <c r="D515" s="57"/>
      <c r="E515" s="2"/>
      <c r="F515" s="8">
        <f t="shared" si="20"/>
        <v>0</v>
      </c>
    </row>
    <row r="516" spans="1:6" x14ac:dyDescent="0.2">
      <c r="B516" s="9"/>
      <c r="C516" s="68"/>
      <c r="D516" s="57"/>
      <c r="E516" s="1"/>
      <c r="F516" s="8">
        <f t="shared" si="20"/>
        <v>0</v>
      </c>
    </row>
    <row r="517" spans="1:6" ht="15.75" thickBot="1" x14ac:dyDescent="0.25">
      <c r="B517" s="128" t="s">
        <v>12</v>
      </c>
      <c r="C517" s="129"/>
      <c r="D517" s="129"/>
      <c r="E517" s="130"/>
      <c r="F517" s="49">
        <v>0</v>
      </c>
    </row>
    <row r="518" spans="1:6" x14ac:dyDescent="0.2">
      <c r="B518" s="131" t="s">
        <v>8</v>
      </c>
      <c r="C518" s="132"/>
      <c r="D518" s="132"/>
      <c r="E518" s="133"/>
      <c r="F518" s="48">
        <v>0</v>
      </c>
    </row>
    <row r="519" spans="1:6" x14ac:dyDescent="0.2">
      <c r="B519" s="134" t="s">
        <v>9</v>
      </c>
      <c r="C519" s="135"/>
      <c r="D519" s="135"/>
      <c r="E519" s="92"/>
      <c r="F519" s="46">
        <f>F517+F518</f>
        <v>0</v>
      </c>
    </row>
    <row r="520" spans="1:6" x14ac:dyDescent="0.2">
      <c r="B520" s="134" t="s">
        <v>10</v>
      </c>
      <c r="C520" s="135"/>
      <c r="D520" s="135"/>
      <c r="E520" s="92"/>
      <c r="F520" s="8">
        <v>0</v>
      </c>
    </row>
    <row r="521" spans="1:6" ht="15.75" thickBot="1" x14ac:dyDescent="0.25">
      <c r="B521" s="98" t="s">
        <v>11</v>
      </c>
      <c r="C521" s="99"/>
      <c r="D521" s="99"/>
      <c r="E521" s="100"/>
      <c r="F521" s="47">
        <f>F520-F519</f>
        <v>0</v>
      </c>
    </row>
    <row r="522" spans="1:6" ht="15.75" thickBot="1" x14ac:dyDescent="0.25">
      <c r="F522" s="8"/>
    </row>
    <row r="523" spans="1:6" x14ac:dyDescent="0.2">
      <c r="B523" s="6" t="s">
        <v>2</v>
      </c>
      <c r="C523" s="138" t="str">
        <f>E2</f>
        <v>Oktober Rabu 21 2026</v>
      </c>
      <c r="D523" s="139"/>
      <c r="E523" s="139"/>
      <c r="F523" s="140"/>
    </row>
    <row r="524" spans="1:6" x14ac:dyDescent="0.2">
      <c r="A524" s="31" t="s">
        <v>39</v>
      </c>
      <c r="B524" s="7" t="s">
        <v>0</v>
      </c>
      <c r="C524" s="124" t="s">
        <v>75</v>
      </c>
      <c r="D524" s="124"/>
      <c r="E524" s="124"/>
      <c r="F524" s="125"/>
    </row>
    <row r="525" spans="1:6" x14ac:dyDescent="0.2">
      <c r="B525" s="7" t="s">
        <v>1</v>
      </c>
      <c r="C525" s="124" t="s">
        <v>52</v>
      </c>
      <c r="D525" s="124"/>
      <c r="E525" s="124"/>
      <c r="F525" s="125"/>
    </row>
    <row r="526" spans="1:6" ht="15.75" thickBot="1" x14ac:dyDescent="0.25">
      <c r="B526" s="7"/>
      <c r="C526" s="126"/>
      <c r="D526" s="126"/>
      <c r="E526" s="126"/>
      <c r="F526" s="127"/>
    </row>
    <row r="527" spans="1:6" x14ac:dyDescent="0.2">
      <c r="B527" s="3" t="s">
        <v>3</v>
      </c>
      <c r="C527" s="4" t="s">
        <v>4</v>
      </c>
      <c r="D527" s="4" t="s">
        <v>5</v>
      </c>
      <c r="E527" s="4" t="s">
        <v>7</v>
      </c>
      <c r="F527" s="5" t="s">
        <v>6</v>
      </c>
    </row>
    <row r="528" spans="1:6" x14ac:dyDescent="0.2">
      <c r="B528" s="19"/>
      <c r="C528" s="1" t="s">
        <v>80</v>
      </c>
      <c r="D528" s="57"/>
      <c r="E528" s="2">
        <v>3800</v>
      </c>
      <c r="F528" s="8">
        <f>(B528-D528) *E528</f>
        <v>0</v>
      </c>
    </row>
    <row r="529" spans="2:6" x14ac:dyDescent="0.2">
      <c r="B529" s="35"/>
      <c r="C529" s="1" t="s">
        <v>16</v>
      </c>
      <c r="D529" s="57"/>
      <c r="E529" s="2">
        <v>9300</v>
      </c>
      <c r="F529" s="8">
        <f>(B529-D529) *E529</f>
        <v>0</v>
      </c>
    </row>
    <row r="530" spans="2:6" x14ac:dyDescent="0.2">
      <c r="B530" s="35"/>
      <c r="C530" s="1" t="s">
        <v>78</v>
      </c>
      <c r="D530" s="57"/>
      <c r="E530" s="2">
        <v>4800</v>
      </c>
      <c r="F530" s="8">
        <f>(B530-D530) *E530</f>
        <v>0</v>
      </c>
    </row>
    <row r="531" spans="2:6" x14ac:dyDescent="0.2">
      <c r="B531" s="35"/>
      <c r="C531" s="1" t="s">
        <v>79</v>
      </c>
      <c r="D531" s="57"/>
      <c r="E531" s="2">
        <v>222000</v>
      </c>
      <c r="F531" s="8">
        <f>(B531-D531) *E531</f>
        <v>0</v>
      </c>
    </row>
    <row r="532" spans="2:6" x14ac:dyDescent="0.2">
      <c r="B532" s="35"/>
      <c r="C532" s="1" t="s">
        <v>17</v>
      </c>
      <c r="D532" s="57"/>
      <c r="E532" s="2">
        <v>17000</v>
      </c>
      <c r="F532" s="8">
        <f>(B532-D532) *E532</f>
        <v>0</v>
      </c>
    </row>
    <row r="533" spans="2:6" x14ac:dyDescent="0.2">
      <c r="B533" s="19"/>
      <c r="C533" s="1" t="s">
        <v>105</v>
      </c>
      <c r="D533" s="57"/>
      <c r="E533" s="2">
        <v>75000</v>
      </c>
      <c r="F533" s="8">
        <f t="shared" ref="F533:F553" si="21">(B533-D533) *E533</f>
        <v>0</v>
      </c>
    </row>
    <row r="534" spans="2:6" x14ac:dyDescent="0.2">
      <c r="B534" s="19"/>
      <c r="C534" s="1" t="s">
        <v>106</v>
      </c>
      <c r="D534" s="57"/>
      <c r="E534" s="2">
        <v>5000</v>
      </c>
      <c r="F534" s="8">
        <f t="shared" si="21"/>
        <v>0</v>
      </c>
    </row>
    <row r="535" spans="2:6" x14ac:dyDescent="0.2">
      <c r="B535" s="19"/>
      <c r="C535" s="1" t="s">
        <v>71</v>
      </c>
      <c r="D535" s="57"/>
      <c r="E535" s="2">
        <v>56000</v>
      </c>
      <c r="F535" s="8">
        <f t="shared" si="21"/>
        <v>0</v>
      </c>
    </row>
    <row r="536" spans="2:6" x14ac:dyDescent="0.2">
      <c r="B536" s="35"/>
      <c r="C536" s="1" t="s">
        <v>103</v>
      </c>
      <c r="D536" s="57"/>
      <c r="E536" s="2">
        <v>4500</v>
      </c>
      <c r="F536" s="8">
        <f t="shared" si="21"/>
        <v>0</v>
      </c>
    </row>
    <row r="537" spans="2:6" x14ac:dyDescent="0.2">
      <c r="B537" s="35"/>
      <c r="C537" s="1" t="s">
        <v>72</v>
      </c>
      <c r="D537" s="57"/>
      <c r="E537" s="2">
        <v>3800</v>
      </c>
      <c r="F537" s="8">
        <f t="shared" si="21"/>
        <v>0</v>
      </c>
    </row>
    <row r="538" spans="2:6" x14ac:dyDescent="0.2">
      <c r="B538" s="35"/>
      <c r="C538" s="1" t="s">
        <v>98</v>
      </c>
      <c r="D538" s="57"/>
      <c r="E538" s="2">
        <v>4700</v>
      </c>
      <c r="F538" s="8">
        <f t="shared" si="21"/>
        <v>0</v>
      </c>
    </row>
    <row r="539" spans="2:6" x14ac:dyDescent="0.2">
      <c r="B539" s="35"/>
      <c r="C539" s="1" t="s">
        <v>77</v>
      </c>
      <c r="D539" s="57"/>
      <c r="E539" s="2">
        <v>9250</v>
      </c>
      <c r="F539" s="8">
        <f t="shared" si="21"/>
        <v>0</v>
      </c>
    </row>
    <row r="540" spans="2:6" x14ac:dyDescent="0.2">
      <c r="B540" s="35"/>
      <c r="C540" s="1" t="s">
        <v>84</v>
      </c>
      <c r="D540" s="57"/>
      <c r="E540" s="2">
        <v>8500</v>
      </c>
      <c r="F540" s="8">
        <f t="shared" si="21"/>
        <v>0</v>
      </c>
    </row>
    <row r="541" spans="2:6" x14ac:dyDescent="0.2">
      <c r="B541" s="35"/>
      <c r="C541" s="1" t="s">
        <v>73</v>
      </c>
      <c r="D541" s="57"/>
      <c r="E541" s="2">
        <v>8650</v>
      </c>
      <c r="F541" s="8">
        <f t="shared" si="21"/>
        <v>0</v>
      </c>
    </row>
    <row r="542" spans="2:6" x14ac:dyDescent="0.2">
      <c r="B542" s="35"/>
      <c r="C542" s="1" t="s">
        <v>76</v>
      </c>
      <c r="D542" s="57"/>
      <c r="E542" s="2">
        <v>9250</v>
      </c>
      <c r="F542" s="8">
        <f t="shared" si="21"/>
        <v>0</v>
      </c>
    </row>
    <row r="543" spans="2:6" x14ac:dyDescent="0.2">
      <c r="B543" s="35"/>
      <c r="C543" s="1" t="s">
        <v>74</v>
      </c>
      <c r="D543" s="57"/>
      <c r="E543" s="2">
        <v>3800</v>
      </c>
      <c r="F543" s="8">
        <f t="shared" si="21"/>
        <v>0</v>
      </c>
    </row>
    <row r="544" spans="2:6" x14ac:dyDescent="0.2">
      <c r="B544" s="19"/>
      <c r="C544" s="1" t="s">
        <v>85</v>
      </c>
      <c r="D544" s="57"/>
      <c r="E544" s="2">
        <v>3700</v>
      </c>
      <c r="F544" s="8">
        <f t="shared" si="21"/>
        <v>0</v>
      </c>
    </row>
    <row r="545" spans="2:25" x14ac:dyDescent="0.2">
      <c r="B545" s="72"/>
      <c r="C545" s="1" t="s">
        <v>99</v>
      </c>
      <c r="D545" s="71"/>
      <c r="E545" s="2">
        <v>216000</v>
      </c>
      <c r="F545" s="8">
        <f t="shared" si="21"/>
        <v>0</v>
      </c>
    </row>
    <row r="546" spans="2:25" x14ac:dyDescent="0.2">
      <c r="B546" s="72"/>
      <c r="C546" s="1" t="s">
        <v>108</v>
      </c>
      <c r="D546" s="71"/>
      <c r="E546" s="2">
        <v>9000</v>
      </c>
      <c r="F546" s="8">
        <f t="shared" si="21"/>
        <v>0</v>
      </c>
    </row>
    <row r="547" spans="2:25" x14ac:dyDescent="0.2">
      <c r="B547" s="72"/>
      <c r="C547" s="1" t="s">
        <v>104</v>
      </c>
      <c r="D547" s="71"/>
      <c r="E547" s="2"/>
      <c r="F547" s="8">
        <f t="shared" si="21"/>
        <v>0</v>
      </c>
    </row>
    <row r="548" spans="2:25" x14ac:dyDescent="0.2">
      <c r="B548" s="35"/>
      <c r="C548" s="1" t="s">
        <v>107</v>
      </c>
      <c r="D548" s="57"/>
      <c r="E548" s="2"/>
      <c r="F548" s="8">
        <f t="shared" si="21"/>
        <v>0</v>
      </c>
    </row>
    <row r="549" spans="2:25" x14ac:dyDescent="0.2">
      <c r="B549" s="35"/>
      <c r="C549" s="1"/>
      <c r="D549" s="57"/>
      <c r="E549" s="2"/>
      <c r="F549" s="8">
        <f t="shared" si="21"/>
        <v>0</v>
      </c>
    </row>
    <row r="550" spans="2:25" x14ac:dyDescent="0.2">
      <c r="B550" s="35"/>
      <c r="C550" s="1"/>
      <c r="D550" s="57"/>
      <c r="E550" s="2"/>
      <c r="F550" s="8">
        <f t="shared" si="21"/>
        <v>0</v>
      </c>
    </row>
    <row r="551" spans="2:25" x14ac:dyDescent="0.2">
      <c r="B551" s="35"/>
      <c r="C551" s="1"/>
      <c r="D551" s="57"/>
      <c r="E551" s="2"/>
      <c r="F551" s="8">
        <f t="shared" si="21"/>
        <v>0</v>
      </c>
      <c r="Y551" t="s">
        <v>91</v>
      </c>
    </row>
    <row r="552" spans="2:25" x14ac:dyDescent="0.2">
      <c r="B552" s="35"/>
      <c r="C552" s="1"/>
      <c r="D552" s="57"/>
      <c r="E552" s="2"/>
      <c r="F552" s="8">
        <f t="shared" si="21"/>
        <v>0</v>
      </c>
    </row>
    <row r="553" spans="2:25" x14ac:dyDescent="0.2">
      <c r="B553" s="9"/>
      <c r="C553" s="68"/>
      <c r="D553" s="57"/>
      <c r="E553" s="1"/>
      <c r="F553" s="8">
        <f t="shared" si="21"/>
        <v>0</v>
      </c>
    </row>
    <row r="554" spans="2:25" ht="15.75" thickBot="1" x14ac:dyDescent="0.25">
      <c r="B554" s="128" t="s">
        <v>12</v>
      </c>
      <c r="C554" s="129"/>
      <c r="D554" s="129"/>
      <c r="E554" s="130"/>
      <c r="F554" s="45">
        <f>SUM(F528:F553)</f>
        <v>0</v>
      </c>
    </row>
    <row r="555" spans="2:25" x14ac:dyDescent="0.2">
      <c r="B555" s="131"/>
      <c r="C555" s="132"/>
      <c r="D555" s="132"/>
      <c r="E555" s="133"/>
      <c r="F555" s="17">
        <v>1532000</v>
      </c>
    </row>
    <row r="556" spans="2:25" x14ac:dyDescent="0.2">
      <c r="B556" s="134" t="s">
        <v>9</v>
      </c>
      <c r="C556" s="135"/>
      <c r="D556" s="135"/>
      <c r="E556" s="92"/>
      <c r="F556" s="46">
        <f>F554+F555</f>
        <v>1532000</v>
      </c>
    </row>
    <row r="557" spans="2:25" x14ac:dyDescent="0.2">
      <c r="B557" s="134" t="s">
        <v>10</v>
      </c>
      <c r="C557" s="135"/>
      <c r="D557" s="135"/>
      <c r="E557" s="92"/>
      <c r="F557" s="8">
        <v>0</v>
      </c>
    </row>
    <row r="558" spans="2:25" ht="15.75" thickBot="1" x14ac:dyDescent="0.25">
      <c r="B558" s="98" t="s">
        <v>11</v>
      </c>
      <c r="C558" s="99"/>
      <c r="D558" s="99"/>
      <c r="E558" s="100"/>
      <c r="F558" s="47">
        <f>F557-F556</f>
        <v>-1532000</v>
      </c>
    </row>
    <row r="559" spans="2:25" ht="15.75" thickBot="1" x14ac:dyDescent="0.25"/>
    <row r="560" spans="2:25" x14ac:dyDescent="0.2">
      <c r="B560" s="6" t="s">
        <v>2</v>
      </c>
      <c r="C560" s="138" t="str">
        <f>E2</f>
        <v>Oktober Rabu 21 2026</v>
      </c>
      <c r="D560" s="139"/>
      <c r="E560" s="139"/>
      <c r="F560" s="140"/>
    </row>
    <row r="561" spans="1:21" x14ac:dyDescent="0.2">
      <c r="A561" s="31" t="s">
        <v>40</v>
      </c>
      <c r="B561" s="7" t="s">
        <v>0</v>
      </c>
      <c r="C561" s="124" t="s">
        <v>64</v>
      </c>
      <c r="D561" s="124"/>
      <c r="E561" s="124"/>
      <c r="F561" s="125"/>
    </row>
    <row r="562" spans="1:21" x14ac:dyDescent="0.2">
      <c r="B562" s="7" t="s">
        <v>1</v>
      </c>
      <c r="C562" s="124" t="s">
        <v>52</v>
      </c>
      <c r="D562" s="124"/>
      <c r="E562" s="124"/>
      <c r="F562" s="125"/>
    </row>
    <row r="563" spans="1:21" ht="15.75" thickBot="1" x14ac:dyDescent="0.25">
      <c r="B563" s="7"/>
      <c r="C563" s="126"/>
      <c r="D563" s="126"/>
      <c r="E563" s="126"/>
      <c r="F563" s="127"/>
    </row>
    <row r="564" spans="1:21" x14ac:dyDescent="0.2">
      <c r="B564" s="3" t="s">
        <v>3</v>
      </c>
      <c r="C564" s="4" t="s">
        <v>4</v>
      </c>
      <c r="D564" s="4" t="s">
        <v>5</v>
      </c>
      <c r="E564" s="4" t="s">
        <v>7</v>
      </c>
      <c r="F564" s="5" t="s">
        <v>97</v>
      </c>
    </row>
    <row r="565" spans="1:21" x14ac:dyDescent="0.2">
      <c r="B565" s="19">
        <v>500</v>
      </c>
      <c r="C565" s="1" t="s">
        <v>80</v>
      </c>
      <c r="D565" s="57"/>
      <c r="E565" s="2">
        <v>3800</v>
      </c>
      <c r="F565" s="8">
        <f>(B565-D565) *E565</f>
        <v>1900000</v>
      </c>
      <c r="U565" t="s">
        <v>90</v>
      </c>
    </row>
    <row r="566" spans="1:21" x14ac:dyDescent="0.2">
      <c r="B566" s="19"/>
      <c r="C566" s="1" t="s">
        <v>16</v>
      </c>
      <c r="D566" s="57"/>
      <c r="E566" s="2">
        <v>9300</v>
      </c>
      <c r="F566" s="8">
        <f>(B566-D566) *E566</f>
        <v>0</v>
      </c>
    </row>
    <row r="567" spans="1:21" x14ac:dyDescent="0.2">
      <c r="B567" s="19">
        <v>375</v>
      </c>
      <c r="C567" s="1" t="s">
        <v>78</v>
      </c>
      <c r="D567" s="57"/>
      <c r="E567" s="2">
        <v>4800</v>
      </c>
      <c r="F567" s="8">
        <f>(B567-D567) *E567</f>
        <v>1800000</v>
      </c>
    </row>
    <row r="568" spans="1:21" x14ac:dyDescent="0.2">
      <c r="B568" s="19"/>
      <c r="C568" s="1" t="s">
        <v>79</v>
      </c>
      <c r="D568" s="57"/>
      <c r="E568" s="2">
        <v>9250</v>
      </c>
      <c r="F568" s="8">
        <f>(B568-D568) *E568</f>
        <v>0</v>
      </c>
    </row>
    <row r="569" spans="1:21" x14ac:dyDescent="0.2">
      <c r="B569" s="19"/>
      <c r="C569" s="1" t="s">
        <v>17</v>
      </c>
      <c r="D569" s="57"/>
      <c r="E569" s="2">
        <v>17000</v>
      </c>
      <c r="F569" s="8">
        <f>(B569-D569) *E569</f>
        <v>0</v>
      </c>
    </row>
    <row r="570" spans="1:21" x14ac:dyDescent="0.2">
      <c r="B570" s="19"/>
      <c r="C570" s="1" t="s">
        <v>105</v>
      </c>
      <c r="D570" s="57"/>
      <c r="E570" s="2">
        <v>75000</v>
      </c>
      <c r="F570" s="8">
        <f t="shared" ref="F570:F590" si="22">(B570-D570) *E570</f>
        <v>0</v>
      </c>
    </row>
    <row r="571" spans="1:21" x14ac:dyDescent="0.2">
      <c r="B571" s="19"/>
      <c r="C571" s="1" t="s">
        <v>106</v>
      </c>
      <c r="D571" s="57"/>
      <c r="E571" s="2">
        <v>5000</v>
      </c>
      <c r="F571" s="8">
        <f t="shared" si="22"/>
        <v>0</v>
      </c>
    </row>
    <row r="572" spans="1:21" x14ac:dyDescent="0.2">
      <c r="B572" s="19"/>
      <c r="C572" s="1" t="s">
        <v>71</v>
      </c>
      <c r="D572" s="57"/>
      <c r="E572" s="2">
        <v>56000</v>
      </c>
      <c r="F572" s="8">
        <f t="shared" si="22"/>
        <v>0</v>
      </c>
    </row>
    <row r="573" spans="1:21" x14ac:dyDescent="0.2">
      <c r="B573" s="35"/>
      <c r="C573" s="1" t="s">
        <v>103</v>
      </c>
      <c r="D573" s="57"/>
      <c r="E573" s="2">
        <v>4500</v>
      </c>
      <c r="F573" s="8">
        <f t="shared" si="22"/>
        <v>0</v>
      </c>
    </row>
    <row r="574" spans="1:21" x14ac:dyDescent="0.2">
      <c r="B574" s="35"/>
      <c r="C574" s="1" t="s">
        <v>72</v>
      </c>
      <c r="D574" s="57"/>
      <c r="E574" s="2">
        <v>3800</v>
      </c>
      <c r="F574" s="8">
        <f t="shared" si="22"/>
        <v>0</v>
      </c>
    </row>
    <row r="575" spans="1:21" x14ac:dyDescent="0.2">
      <c r="B575" s="35"/>
      <c r="C575" s="1" t="s">
        <v>98</v>
      </c>
      <c r="D575" s="57"/>
      <c r="E575" s="2">
        <v>4700</v>
      </c>
      <c r="F575" s="8">
        <f t="shared" si="22"/>
        <v>0</v>
      </c>
    </row>
    <row r="576" spans="1:21" x14ac:dyDescent="0.2">
      <c r="B576" s="35"/>
      <c r="C576" s="1" t="s">
        <v>77</v>
      </c>
      <c r="D576" s="57"/>
      <c r="E576" s="2">
        <v>9250</v>
      </c>
      <c r="F576" s="8">
        <f t="shared" si="22"/>
        <v>0</v>
      </c>
    </row>
    <row r="577" spans="2:34" x14ac:dyDescent="0.2">
      <c r="B577" s="35"/>
      <c r="C577" s="1" t="s">
        <v>84</v>
      </c>
      <c r="D577" s="57"/>
      <c r="E577" s="2">
        <v>8500</v>
      </c>
      <c r="F577" s="8">
        <f t="shared" si="22"/>
        <v>0</v>
      </c>
    </row>
    <row r="578" spans="2:34" x14ac:dyDescent="0.2">
      <c r="B578" s="35"/>
      <c r="C578" s="1" t="s">
        <v>73</v>
      </c>
      <c r="D578" s="57"/>
      <c r="E578" s="2">
        <v>8650</v>
      </c>
      <c r="F578" s="8">
        <f t="shared" si="22"/>
        <v>0</v>
      </c>
    </row>
    <row r="579" spans="2:34" x14ac:dyDescent="0.2">
      <c r="B579" s="35"/>
      <c r="C579" s="1" t="s">
        <v>76</v>
      </c>
      <c r="D579" s="57"/>
      <c r="E579" s="2">
        <v>9250</v>
      </c>
      <c r="F579" s="8">
        <f t="shared" si="22"/>
        <v>0</v>
      </c>
    </row>
    <row r="580" spans="2:34" x14ac:dyDescent="0.2">
      <c r="B580" s="35"/>
      <c r="C580" s="1" t="s">
        <v>74</v>
      </c>
      <c r="D580" s="57"/>
      <c r="E580" s="2">
        <v>3800</v>
      </c>
      <c r="F580" s="8">
        <f t="shared" si="22"/>
        <v>0</v>
      </c>
    </row>
    <row r="581" spans="2:34" x14ac:dyDescent="0.2">
      <c r="B581" s="19"/>
      <c r="C581" s="1" t="s">
        <v>85</v>
      </c>
      <c r="D581" s="57"/>
      <c r="E581" s="2">
        <v>3700</v>
      </c>
      <c r="F581" s="8">
        <f t="shared" si="22"/>
        <v>0</v>
      </c>
    </row>
    <row r="582" spans="2:34" x14ac:dyDescent="0.2">
      <c r="B582" s="35"/>
      <c r="C582" s="1" t="s">
        <v>99</v>
      </c>
      <c r="D582" s="57"/>
      <c r="E582" s="2">
        <v>216000</v>
      </c>
      <c r="F582" s="8">
        <f t="shared" si="22"/>
        <v>0</v>
      </c>
      <c r="AH582" t="s">
        <v>92</v>
      </c>
    </row>
    <row r="583" spans="2:34" x14ac:dyDescent="0.2">
      <c r="B583" s="72"/>
      <c r="C583" s="1" t="s">
        <v>108</v>
      </c>
      <c r="D583" s="71"/>
      <c r="E583" s="2">
        <v>9000</v>
      </c>
      <c r="F583" s="8">
        <f t="shared" si="22"/>
        <v>0</v>
      </c>
    </row>
    <row r="584" spans="2:34" x14ac:dyDescent="0.2">
      <c r="B584" s="35"/>
      <c r="C584" s="1" t="s">
        <v>104</v>
      </c>
      <c r="D584" s="57"/>
      <c r="E584" s="2"/>
      <c r="F584" s="8">
        <f t="shared" si="22"/>
        <v>0</v>
      </c>
    </row>
    <row r="585" spans="2:34" x14ac:dyDescent="0.2">
      <c r="B585" s="35">
        <v>30</v>
      </c>
      <c r="C585" s="1" t="s">
        <v>107</v>
      </c>
      <c r="D585" s="57"/>
      <c r="E585" s="2">
        <v>3500</v>
      </c>
      <c r="F585" s="8">
        <f t="shared" si="22"/>
        <v>105000</v>
      </c>
    </row>
    <row r="586" spans="2:34" x14ac:dyDescent="0.2">
      <c r="B586" s="35"/>
      <c r="C586" s="1"/>
      <c r="D586" s="57"/>
      <c r="E586" s="2"/>
      <c r="F586" s="8">
        <f t="shared" si="22"/>
        <v>0</v>
      </c>
    </row>
    <row r="587" spans="2:34" x14ac:dyDescent="0.2">
      <c r="B587" s="35"/>
      <c r="C587" s="1"/>
      <c r="D587" s="57"/>
      <c r="E587" s="2"/>
      <c r="F587" s="8">
        <f t="shared" si="22"/>
        <v>0</v>
      </c>
    </row>
    <row r="588" spans="2:34" x14ac:dyDescent="0.2">
      <c r="B588" s="35"/>
      <c r="C588" s="1"/>
      <c r="D588" s="57"/>
      <c r="E588" s="2"/>
      <c r="F588" s="8">
        <f t="shared" si="22"/>
        <v>0</v>
      </c>
    </row>
    <row r="589" spans="2:34" x14ac:dyDescent="0.2">
      <c r="B589" s="35"/>
      <c r="C589" s="1"/>
      <c r="D589" s="57"/>
      <c r="E589" s="2"/>
      <c r="F589" s="8">
        <f t="shared" si="22"/>
        <v>0</v>
      </c>
    </row>
    <row r="590" spans="2:34" x14ac:dyDescent="0.2">
      <c r="B590" s="9"/>
      <c r="C590" s="68"/>
      <c r="D590" s="57"/>
      <c r="E590" s="1"/>
      <c r="F590" s="8">
        <f t="shared" si="22"/>
        <v>0</v>
      </c>
    </row>
    <row r="591" spans="2:34" ht="15.75" thickBot="1" x14ac:dyDescent="0.25">
      <c r="B591" s="128" t="s">
        <v>12</v>
      </c>
      <c r="C591" s="129"/>
      <c r="D591" s="129"/>
      <c r="E591" s="130"/>
      <c r="F591" s="45">
        <f>SUM(F565:F590)</f>
        <v>3805000</v>
      </c>
    </row>
    <row r="592" spans="2:34" x14ac:dyDescent="0.2">
      <c r="B592" s="131" t="s">
        <v>8</v>
      </c>
      <c r="C592" s="132"/>
      <c r="D592" s="132"/>
      <c r="E592" s="133"/>
      <c r="F592" s="17">
        <v>4301000</v>
      </c>
    </row>
    <row r="593" spans="1:6" x14ac:dyDescent="0.2">
      <c r="B593" s="134" t="s">
        <v>9</v>
      </c>
      <c r="C593" s="135"/>
      <c r="D593" s="135"/>
      <c r="E593" s="92"/>
      <c r="F593" s="46">
        <f>F591+F592</f>
        <v>8106000</v>
      </c>
    </row>
    <row r="594" spans="1:6" x14ac:dyDescent="0.2">
      <c r="B594" s="134" t="s">
        <v>10</v>
      </c>
      <c r="C594" s="135"/>
      <c r="D594" s="135"/>
      <c r="E594" s="92"/>
      <c r="F594" s="8">
        <v>0</v>
      </c>
    </row>
    <row r="595" spans="1:6" ht="15.75" thickBot="1" x14ac:dyDescent="0.25">
      <c r="B595" s="98" t="s">
        <v>11</v>
      </c>
      <c r="C595" s="99"/>
      <c r="D595" s="99"/>
      <c r="E595" s="100"/>
      <c r="F595" s="47">
        <f>F594-F593</f>
        <v>-8106000</v>
      </c>
    </row>
    <row r="596" spans="1:6" ht="15.75" thickBot="1" x14ac:dyDescent="0.25"/>
    <row r="597" spans="1:6" x14ac:dyDescent="0.2">
      <c r="B597" s="6" t="s">
        <v>2</v>
      </c>
      <c r="C597" s="138" t="str">
        <f>E2</f>
        <v>Oktober Rabu 21 2026</v>
      </c>
      <c r="D597" s="139"/>
      <c r="E597" s="139"/>
      <c r="F597" s="140"/>
    </row>
    <row r="598" spans="1:6" x14ac:dyDescent="0.2">
      <c r="A598" s="31" t="s">
        <v>41</v>
      </c>
      <c r="B598" s="7" t="s">
        <v>0</v>
      </c>
      <c r="C598" s="124" t="s">
        <v>65</v>
      </c>
      <c r="D598" s="124"/>
      <c r="E598" s="124"/>
      <c r="F598" s="125"/>
    </row>
    <row r="599" spans="1:6" x14ac:dyDescent="0.2">
      <c r="B599" s="7" t="s">
        <v>1</v>
      </c>
      <c r="C599" s="124" t="s">
        <v>52</v>
      </c>
      <c r="D599" s="124"/>
      <c r="E599" s="124"/>
      <c r="F599" s="125"/>
    </row>
    <row r="600" spans="1:6" ht="15.75" thickBot="1" x14ac:dyDescent="0.25">
      <c r="B600" s="7"/>
      <c r="C600" s="126"/>
      <c r="D600" s="126"/>
      <c r="E600" s="126"/>
      <c r="F600" s="127"/>
    </row>
    <row r="601" spans="1:6" x14ac:dyDescent="0.2">
      <c r="B601" s="3" t="s">
        <v>3</v>
      </c>
      <c r="C601" s="4" t="s">
        <v>4</v>
      </c>
      <c r="D601" s="4" t="s">
        <v>5</v>
      </c>
      <c r="E601" s="4" t="s">
        <v>7</v>
      </c>
      <c r="F601" s="5" t="s">
        <v>6</v>
      </c>
    </row>
    <row r="602" spans="1:6" x14ac:dyDescent="0.2">
      <c r="B602" s="35"/>
      <c r="C602" s="1" t="s">
        <v>80</v>
      </c>
      <c r="D602" s="57"/>
      <c r="E602" s="2">
        <v>3800</v>
      </c>
      <c r="F602" s="8">
        <f>(B602-D602) *E602</f>
        <v>0</v>
      </c>
    </row>
    <row r="603" spans="1:6" x14ac:dyDescent="0.2">
      <c r="B603" s="35"/>
      <c r="C603" s="1" t="s">
        <v>16</v>
      </c>
      <c r="D603" s="57"/>
      <c r="E603" s="2">
        <v>9300</v>
      </c>
      <c r="F603" s="8">
        <f>(B603-D603) *E603</f>
        <v>0</v>
      </c>
    </row>
    <row r="604" spans="1:6" x14ac:dyDescent="0.2">
      <c r="B604" s="35">
        <v>25</v>
      </c>
      <c r="C604" s="1" t="s">
        <v>78</v>
      </c>
      <c r="D604" s="57"/>
      <c r="E604" s="2">
        <v>4800</v>
      </c>
      <c r="F604" s="8">
        <f>(B604-D604) *E604</f>
        <v>120000</v>
      </c>
    </row>
    <row r="605" spans="1:6" x14ac:dyDescent="0.2">
      <c r="B605" s="35"/>
      <c r="C605" s="1" t="s">
        <v>79</v>
      </c>
      <c r="D605" s="57"/>
      <c r="E605" s="2">
        <v>222000</v>
      </c>
      <c r="F605" s="8">
        <f>(B605-D605) *E605</f>
        <v>0</v>
      </c>
    </row>
    <row r="606" spans="1:6" x14ac:dyDescent="0.2">
      <c r="B606" s="35"/>
      <c r="C606" s="1" t="s">
        <v>17</v>
      </c>
      <c r="D606" s="57"/>
      <c r="E606" s="2">
        <v>17000</v>
      </c>
      <c r="F606" s="8">
        <f>(B606-D606) *E606</f>
        <v>0</v>
      </c>
    </row>
    <row r="607" spans="1:6" x14ac:dyDescent="0.2">
      <c r="B607" s="35"/>
      <c r="C607" s="1" t="s">
        <v>105</v>
      </c>
      <c r="D607" s="57"/>
      <c r="E607" s="2">
        <v>75000</v>
      </c>
      <c r="F607" s="8">
        <f t="shared" ref="F607:F627" si="23">(B607-D607) *E607</f>
        <v>0</v>
      </c>
    </row>
    <row r="608" spans="1:6" x14ac:dyDescent="0.2">
      <c r="B608" s="34"/>
      <c r="C608" s="1" t="s">
        <v>106</v>
      </c>
      <c r="D608" s="57"/>
      <c r="E608" s="2">
        <v>5000</v>
      </c>
      <c r="F608" s="8">
        <f t="shared" si="23"/>
        <v>0</v>
      </c>
    </row>
    <row r="609" spans="2:6" x14ac:dyDescent="0.2">
      <c r="B609" s="35"/>
      <c r="C609" s="1" t="s">
        <v>71</v>
      </c>
      <c r="D609" s="57"/>
      <c r="E609" s="2">
        <v>56000</v>
      </c>
      <c r="F609" s="8">
        <f t="shared" si="23"/>
        <v>0</v>
      </c>
    </row>
    <row r="610" spans="2:6" x14ac:dyDescent="0.2">
      <c r="B610" s="35"/>
      <c r="C610" s="1" t="s">
        <v>103</v>
      </c>
      <c r="D610" s="57"/>
      <c r="E610" s="2">
        <v>4500</v>
      </c>
      <c r="F610" s="8">
        <f t="shared" si="23"/>
        <v>0</v>
      </c>
    </row>
    <row r="611" spans="2:6" x14ac:dyDescent="0.2">
      <c r="B611" s="35"/>
      <c r="C611" s="1" t="s">
        <v>72</v>
      </c>
      <c r="D611" s="57"/>
      <c r="E611" s="2">
        <v>3800</v>
      </c>
      <c r="F611" s="8">
        <f t="shared" si="23"/>
        <v>0</v>
      </c>
    </row>
    <row r="612" spans="2:6" x14ac:dyDescent="0.2">
      <c r="B612" s="35"/>
      <c r="C612" s="1" t="s">
        <v>98</v>
      </c>
      <c r="D612" s="57"/>
      <c r="E612" s="2">
        <v>4700</v>
      </c>
      <c r="F612" s="8">
        <f t="shared" si="23"/>
        <v>0</v>
      </c>
    </row>
    <row r="613" spans="2:6" x14ac:dyDescent="0.2">
      <c r="B613" s="35"/>
      <c r="C613" s="1" t="s">
        <v>77</v>
      </c>
      <c r="D613" s="57"/>
      <c r="E613" s="2">
        <v>9250</v>
      </c>
      <c r="F613" s="8">
        <f t="shared" si="23"/>
        <v>0</v>
      </c>
    </row>
    <row r="614" spans="2:6" x14ac:dyDescent="0.2">
      <c r="B614" s="35"/>
      <c r="C614" s="1" t="s">
        <v>84</v>
      </c>
      <c r="D614" s="57"/>
      <c r="E614" s="2">
        <v>8500</v>
      </c>
      <c r="F614" s="8">
        <f t="shared" si="23"/>
        <v>0</v>
      </c>
    </row>
    <row r="615" spans="2:6" x14ac:dyDescent="0.2">
      <c r="B615" s="54"/>
      <c r="C615" s="1" t="s">
        <v>73</v>
      </c>
      <c r="D615" s="57"/>
      <c r="E615" s="2">
        <v>8650</v>
      </c>
      <c r="F615" s="8">
        <f t="shared" si="23"/>
        <v>0</v>
      </c>
    </row>
    <row r="616" spans="2:6" x14ac:dyDescent="0.2">
      <c r="B616" s="35"/>
      <c r="C616" s="1" t="s">
        <v>76</v>
      </c>
      <c r="D616" s="57"/>
      <c r="E616" s="2">
        <v>9250</v>
      </c>
      <c r="F616" s="8">
        <f t="shared" si="23"/>
        <v>0</v>
      </c>
    </row>
    <row r="617" spans="2:6" x14ac:dyDescent="0.2">
      <c r="B617" s="35"/>
      <c r="C617" s="1" t="s">
        <v>74</v>
      </c>
      <c r="D617" s="57"/>
      <c r="E617" s="2">
        <v>3800</v>
      </c>
      <c r="F617" s="8">
        <f t="shared" si="23"/>
        <v>0</v>
      </c>
    </row>
    <row r="618" spans="2:6" x14ac:dyDescent="0.2">
      <c r="B618" s="34"/>
      <c r="C618" s="1" t="s">
        <v>85</v>
      </c>
      <c r="D618" s="57"/>
      <c r="E618" s="2">
        <v>3700</v>
      </c>
      <c r="F618" s="8">
        <f t="shared" si="23"/>
        <v>0</v>
      </c>
    </row>
    <row r="619" spans="2:6" x14ac:dyDescent="0.2">
      <c r="B619" s="72"/>
      <c r="C619" s="1" t="s">
        <v>99</v>
      </c>
      <c r="D619" s="71"/>
      <c r="E619" s="2">
        <v>216000</v>
      </c>
      <c r="F619" s="8">
        <f t="shared" si="23"/>
        <v>0</v>
      </c>
    </row>
    <row r="620" spans="2:6" x14ac:dyDescent="0.2">
      <c r="B620" s="72"/>
      <c r="C620" s="1" t="s">
        <v>108</v>
      </c>
      <c r="D620" s="71"/>
      <c r="E620" s="2">
        <v>9000</v>
      </c>
      <c r="F620" s="8">
        <f t="shared" si="23"/>
        <v>0</v>
      </c>
    </row>
    <row r="621" spans="2:6" x14ac:dyDescent="0.2">
      <c r="B621" s="35"/>
      <c r="C621" s="1" t="s">
        <v>104</v>
      </c>
      <c r="D621" s="57"/>
      <c r="E621" s="2"/>
      <c r="F621" s="8">
        <f t="shared" si="23"/>
        <v>0</v>
      </c>
    </row>
    <row r="622" spans="2:6" x14ac:dyDescent="0.2">
      <c r="B622" s="35"/>
      <c r="C622" s="1" t="s">
        <v>107</v>
      </c>
      <c r="D622" s="57"/>
      <c r="E622" s="2"/>
      <c r="F622" s="8">
        <f t="shared" si="23"/>
        <v>0</v>
      </c>
    </row>
    <row r="623" spans="2:6" x14ac:dyDescent="0.2">
      <c r="B623" s="35"/>
      <c r="C623" s="1"/>
      <c r="D623" s="57"/>
      <c r="E623" s="2"/>
      <c r="F623" s="8">
        <f t="shared" si="23"/>
        <v>0</v>
      </c>
    </row>
    <row r="624" spans="2:6" x14ac:dyDescent="0.2">
      <c r="B624" s="35"/>
      <c r="C624" s="1"/>
      <c r="D624" s="57"/>
      <c r="E624" s="2"/>
      <c r="F624" s="8">
        <f t="shared" si="23"/>
        <v>0</v>
      </c>
    </row>
    <row r="625" spans="1:7" x14ac:dyDescent="0.2">
      <c r="B625" s="35"/>
      <c r="C625" s="1"/>
      <c r="D625" s="57"/>
      <c r="E625" s="2"/>
      <c r="F625" s="8">
        <f t="shared" si="23"/>
        <v>0</v>
      </c>
    </row>
    <row r="626" spans="1:7" x14ac:dyDescent="0.2">
      <c r="B626" s="35"/>
      <c r="C626" s="1"/>
      <c r="D626" s="57"/>
      <c r="E626" s="2"/>
      <c r="F626" s="8">
        <f t="shared" si="23"/>
        <v>0</v>
      </c>
    </row>
    <row r="627" spans="1:7" x14ac:dyDescent="0.2">
      <c r="B627" s="9"/>
      <c r="C627" s="68"/>
      <c r="D627" s="57"/>
      <c r="E627" s="1"/>
      <c r="F627" s="8">
        <f t="shared" si="23"/>
        <v>0</v>
      </c>
    </row>
    <row r="628" spans="1:7" ht="15.75" thickBot="1" x14ac:dyDescent="0.25">
      <c r="B628" s="128" t="s">
        <v>12</v>
      </c>
      <c r="C628" s="129"/>
      <c r="D628" s="129"/>
      <c r="E628" s="130"/>
      <c r="F628" s="45">
        <f>SUM(F602:F627)</f>
        <v>120000</v>
      </c>
    </row>
    <row r="629" spans="1:7" x14ac:dyDescent="0.2">
      <c r="B629" s="131" t="s">
        <v>8</v>
      </c>
      <c r="C629" s="132"/>
      <c r="D629" s="132"/>
      <c r="E629" s="133"/>
      <c r="F629" s="17">
        <v>0</v>
      </c>
    </row>
    <row r="630" spans="1:7" x14ac:dyDescent="0.2">
      <c r="B630" s="134" t="s">
        <v>9</v>
      </c>
      <c r="C630" s="135"/>
      <c r="D630" s="135"/>
      <c r="E630" s="92"/>
      <c r="F630" s="46">
        <f>F628+F629</f>
        <v>120000</v>
      </c>
    </row>
    <row r="631" spans="1:7" x14ac:dyDescent="0.2">
      <c r="B631" s="134" t="s">
        <v>10</v>
      </c>
      <c r="C631" s="135"/>
      <c r="D631" s="135"/>
      <c r="E631" s="92"/>
      <c r="F631" s="8"/>
    </row>
    <row r="632" spans="1:7" ht="15.75" thickBot="1" x14ac:dyDescent="0.25">
      <c r="B632" s="98" t="s">
        <v>11</v>
      </c>
      <c r="C632" s="99"/>
      <c r="D632" s="99"/>
      <c r="E632" s="100"/>
      <c r="F632" s="47">
        <f>F631-F630</f>
        <v>-120000</v>
      </c>
    </row>
    <row r="633" spans="1:7" ht="15.75" thickBot="1" x14ac:dyDescent="0.25"/>
    <row r="634" spans="1:7" x14ac:dyDescent="0.2">
      <c r="B634" s="6" t="s">
        <v>2</v>
      </c>
      <c r="C634" s="138" t="str">
        <f>E2</f>
        <v>Oktober Rabu 21 2026</v>
      </c>
      <c r="D634" s="139"/>
      <c r="E634" s="139"/>
      <c r="F634" s="140"/>
    </row>
    <row r="635" spans="1:7" x14ac:dyDescent="0.2">
      <c r="A635" s="31">
        <v>18</v>
      </c>
      <c r="B635" s="7" t="s">
        <v>0</v>
      </c>
      <c r="C635" s="124" t="s">
        <v>88</v>
      </c>
      <c r="D635" s="124"/>
      <c r="E635" s="124"/>
      <c r="F635" s="125"/>
    </row>
    <row r="636" spans="1:7" x14ac:dyDescent="0.2">
      <c r="B636" s="7" t="s">
        <v>1</v>
      </c>
      <c r="C636" s="124" t="s">
        <v>59</v>
      </c>
      <c r="D636" s="124"/>
      <c r="E636" s="124"/>
      <c r="F636" s="125"/>
    </row>
    <row r="637" spans="1:7" ht="15.75" thickBot="1" x14ac:dyDescent="0.25">
      <c r="B637" s="7"/>
      <c r="C637" s="126"/>
      <c r="D637" s="126"/>
      <c r="E637" s="126"/>
      <c r="F637" s="127"/>
    </row>
    <row r="638" spans="1:7" x14ac:dyDescent="0.2">
      <c r="B638" s="3" t="s">
        <v>3</v>
      </c>
      <c r="C638" s="4" t="s">
        <v>4</v>
      </c>
      <c r="D638" s="4" t="s">
        <v>5</v>
      </c>
      <c r="E638" s="4" t="s">
        <v>7</v>
      </c>
      <c r="F638" s="5" t="s">
        <v>6</v>
      </c>
    </row>
    <row r="639" spans="1:7" x14ac:dyDescent="0.2">
      <c r="B639" s="19">
        <v>30</v>
      </c>
      <c r="C639" s="1" t="s">
        <v>80</v>
      </c>
      <c r="D639" s="57"/>
      <c r="E639" s="2">
        <v>3800</v>
      </c>
      <c r="F639" s="8">
        <f>(B639-D639) *E639</f>
        <v>114000</v>
      </c>
    </row>
    <row r="640" spans="1:7" x14ac:dyDescent="0.2">
      <c r="B640" s="19">
        <v>5</v>
      </c>
      <c r="C640" s="1" t="s">
        <v>16</v>
      </c>
      <c r="D640" s="57"/>
      <c r="E640" s="2">
        <v>9300</v>
      </c>
      <c r="F640" s="8">
        <f>(B640-D640) *E640</f>
        <v>46500</v>
      </c>
      <c r="G640" s="59"/>
    </row>
    <row r="641" spans="2:6" x14ac:dyDescent="0.2">
      <c r="B641" s="19">
        <v>5</v>
      </c>
      <c r="C641" s="1" t="s">
        <v>78</v>
      </c>
      <c r="D641" s="57"/>
      <c r="E641" s="2">
        <v>4800</v>
      </c>
      <c r="F641" s="8">
        <f>(B641-D641) *E641</f>
        <v>24000</v>
      </c>
    </row>
    <row r="642" spans="2:6" x14ac:dyDescent="0.2">
      <c r="B642" s="19"/>
      <c r="C642" s="1" t="s">
        <v>79</v>
      </c>
      <c r="D642" s="57"/>
      <c r="E642" s="2">
        <v>222000</v>
      </c>
      <c r="F642" s="8">
        <f>(B642-D642) *E642</f>
        <v>0</v>
      </c>
    </row>
    <row r="643" spans="2:6" x14ac:dyDescent="0.2">
      <c r="B643" s="19"/>
      <c r="C643" s="1" t="s">
        <v>17</v>
      </c>
      <c r="D643" s="57"/>
      <c r="E643" s="2">
        <v>17000</v>
      </c>
      <c r="F643" s="8">
        <f>(B643-D643) *E643</f>
        <v>0</v>
      </c>
    </row>
    <row r="644" spans="2:6" x14ac:dyDescent="0.2">
      <c r="B644" s="19"/>
      <c r="C644" s="1" t="s">
        <v>105</v>
      </c>
      <c r="D644" s="57"/>
      <c r="E644" s="2">
        <v>75000</v>
      </c>
      <c r="F644" s="8">
        <f t="shared" ref="F644:F664" si="24">(B644-D644) *E644</f>
        <v>0</v>
      </c>
    </row>
    <row r="645" spans="2:6" x14ac:dyDescent="0.2">
      <c r="B645" s="19"/>
      <c r="C645" s="1" t="s">
        <v>106</v>
      </c>
      <c r="D645" s="57"/>
      <c r="E645" s="2">
        <v>5000</v>
      </c>
      <c r="F645" s="8">
        <f t="shared" si="24"/>
        <v>0</v>
      </c>
    </row>
    <row r="646" spans="2:6" x14ac:dyDescent="0.2">
      <c r="B646" s="19"/>
      <c r="C646" s="1" t="s">
        <v>71</v>
      </c>
      <c r="D646" s="57"/>
      <c r="E646" s="2">
        <v>56000</v>
      </c>
      <c r="F646" s="8">
        <f t="shared" si="24"/>
        <v>0</v>
      </c>
    </row>
    <row r="647" spans="2:6" x14ac:dyDescent="0.2">
      <c r="B647" s="35"/>
      <c r="C647" s="1" t="s">
        <v>103</v>
      </c>
      <c r="D647" s="57"/>
      <c r="E647" s="2">
        <v>4500</v>
      </c>
      <c r="F647" s="8">
        <f t="shared" si="24"/>
        <v>0</v>
      </c>
    </row>
    <row r="648" spans="2:6" x14ac:dyDescent="0.2">
      <c r="B648" s="35"/>
      <c r="C648" s="1" t="s">
        <v>72</v>
      </c>
      <c r="D648" s="57"/>
      <c r="E648" s="2">
        <v>3800</v>
      </c>
      <c r="F648" s="8">
        <f t="shared" si="24"/>
        <v>0</v>
      </c>
    </row>
    <row r="649" spans="2:6" x14ac:dyDescent="0.2">
      <c r="B649" s="35"/>
      <c r="C649" s="1" t="s">
        <v>98</v>
      </c>
      <c r="D649" s="57"/>
      <c r="E649" s="2">
        <v>4700</v>
      </c>
      <c r="F649" s="8">
        <f t="shared" si="24"/>
        <v>0</v>
      </c>
    </row>
    <row r="650" spans="2:6" x14ac:dyDescent="0.2">
      <c r="B650" s="35"/>
      <c r="C650" s="1" t="s">
        <v>77</v>
      </c>
      <c r="D650" s="57"/>
      <c r="E650" s="2">
        <v>9250</v>
      </c>
      <c r="F650" s="8">
        <f t="shared" si="24"/>
        <v>0</v>
      </c>
    </row>
    <row r="651" spans="2:6" x14ac:dyDescent="0.2">
      <c r="B651" s="35"/>
      <c r="C651" s="1" t="s">
        <v>84</v>
      </c>
      <c r="D651" s="57"/>
      <c r="E651" s="2">
        <v>8500</v>
      </c>
      <c r="F651" s="8">
        <f t="shared" si="24"/>
        <v>0</v>
      </c>
    </row>
    <row r="652" spans="2:6" x14ac:dyDescent="0.2">
      <c r="B652" s="35"/>
      <c r="C652" s="1" t="s">
        <v>73</v>
      </c>
      <c r="D652" s="57"/>
      <c r="E652" s="2">
        <v>8650</v>
      </c>
      <c r="F652" s="8">
        <f t="shared" si="24"/>
        <v>0</v>
      </c>
    </row>
    <row r="653" spans="2:6" x14ac:dyDescent="0.2">
      <c r="B653" s="35"/>
      <c r="C653" s="1" t="s">
        <v>76</v>
      </c>
      <c r="D653" s="57"/>
      <c r="E653" s="2">
        <v>9250</v>
      </c>
      <c r="F653" s="8">
        <f t="shared" si="24"/>
        <v>0</v>
      </c>
    </row>
    <row r="654" spans="2:6" x14ac:dyDescent="0.2">
      <c r="B654" s="35"/>
      <c r="C654" s="1" t="s">
        <v>74</v>
      </c>
      <c r="D654" s="57"/>
      <c r="E654" s="2">
        <v>3800</v>
      </c>
      <c r="F654" s="8">
        <f t="shared" si="24"/>
        <v>0</v>
      </c>
    </row>
    <row r="655" spans="2:6" x14ac:dyDescent="0.2">
      <c r="B655" s="19"/>
      <c r="C655" s="1" t="s">
        <v>85</v>
      </c>
      <c r="D655" s="57"/>
      <c r="E655" s="2">
        <v>3700</v>
      </c>
      <c r="F655" s="8">
        <f t="shared" si="24"/>
        <v>0</v>
      </c>
    </row>
    <row r="656" spans="2:6" x14ac:dyDescent="0.2">
      <c r="B656" s="35"/>
      <c r="C656" s="1" t="s">
        <v>99</v>
      </c>
      <c r="D656" s="57"/>
      <c r="E656" s="2">
        <v>216000</v>
      </c>
      <c r="F656" s="8">
        <f t="shared" si="24"/>
        <v>0</v>
      </c>
    </row>
    <row r="657" spans="1:6" x14ac:dyDescent="0.2">
      <c r="B657" s="72"/>
      <c r="C657" s="1" t="s">
        <v>108</v>
      </c>
      <c r="D657" s="71"/>
      <c r="E657" s="2">
        <v>9000</v>
      </c>
      <c r="F657" s="8">
        <f t="shared" si="24"/>
        <v>0</v>
      </c>
    </row>
    <row r="658" spans="1:6" x14ac:dyDescent="0.2">
      <c r="B658" s="35"/>
      <c r="C658" s="1" t="s">
        <v>104</v>
      </c>
      <c r="D658" s="57"/>
      <c r="E658" s="2">
        <v>222000</v>
      </c>
      <c r="F658" s="8">
        <f t="shared" si="24"/>
        <v>0</v>
      </c>
    </row>
    <row r="659" spans="1:6" x14ac:dyDescent="0.2">
      <c r="B659" s="35"/>
      <c r="C659" s="1" t="s">
        <v>107</v>
      </c>
      <c r="D659" s="57"/>
      <c r="E659" s="2"/>
      <c r="F659" s="8">
        <f t="shared" si="24"/>
        <v>0</v>
      </c>
    </row>
    <row r="660" spans="1:6" x14ac:dyDescent="0.2">
      <c r="B660" s="35"/>
      <c r="C660" s="1"/>
      <c r="D660" s="57"/>
      <c r="E660" s="2"/>
      <c r="F660" s="8">
        <f t="shared" si="24"/>
        <v>0</v>
      </c>
    </row>
    <row r="661" spans="1:6" x14ac:dyDescent="0.2">
      <c r="B661" s="35"/>
      <c r="C661" s="1"/>
      <c r="D661" s="57"/>
      <c r="E661" s="2"/>
      <c r="F661" s="8">
        <f t="shared" si="24"/>
        <v>0</v>
      </c>
    </row>
    <row r="662" spans="1:6" x14ac:dyDescent="0.2">
      <c r="B662" s="35"/>
      <c r="C662" s="1"/>
      <c r="D662" s="57"/>
      <c r="E662" s="2"/>
      <c r="F662" s="8">
        <f t="shared" si="24"/>
        <v>0</v>
      </c>
    </row>
    <row r="663" spans="1:6" x14ac:dyDescent="0.2">
      <c r="B663" s="35"/>
      <c r="C663" s="1"/>
      <c r="D663" s="57"/>
      <c r="E663" s="2"/>
      <c r="F663" s="8">
        <f t="shared" si="24"/>
        <v>0</v>
      </c>
    </row>
    <row r="664" spans="1:6" x14ac:dyDescent="0.2">
      <c r="B664" s="9"/>
      <c r="C664" s="68"/>
      <c r="D664" s="57"/>
      <c r="E664" s="1"/>
      <c r="F664" s="8">
        <f t="shared" si="24"/>
        <v>0</v>
      </c>
    </row>
    <row r="665" spans="1:6" ht="15.75" thickBot="1" x14ac:dyDescent="0.25">
      <c r="B665" s="128" t="s">
        <v>12</v>
      </c>
      <c r="C665" s="129"/>
      <c r="D665" s="129"/>
      <c r="E665" s="130"/>
      <c r="F665" s="45">
        <f>SUM(F639:F664)</f>
        <v>184500</v>
      </c>
    </row>
    <row r="666" spans="1:6" x14ac:dyDescent="0.2">
      <c r="B666" s="131" t="s">
        <v>8</v>
      </c>
      <c r="C666" s="132"/>
      <c r="D666" s="132"/>
      <c r="E666" s="133"/>
      <c r="F666" s="17">
        <v>1009000</v>
      </c>
    </row>
    <row r="667" spans="1:6" x14ac:dyDescent="0.2">
      <c r="B667" s="134" t="s">
        <v>9</v>
      </c>
      <c r="C667" s="135"/>
      <c r="D667" s="135"/>
      <c r="E667" s="92"/>
      <c r="F667" s="46">
        <f>F665+F666</f>
        <v>1193500</v>
      </c>
    </row>
    <row r="668" spans="1:6" x14ac:dyDescent="0.2">
      <c r="B668" s="134" t="s">
        <v>10</v>
      </c>
      <c r="C668" s="135"/>
      <c r="D668" s="135"/>
      <c r="E668" s="92"/>
      <c r="F668" s="8">
        <v>1009000</v>
      </c>
    </row>
    <row r="669" spans="1:6" ht="15.75" thickBot="1" x14ac:dyDescent="0.25">
      <c r="B669" s="98" t="s">
        <v>11</v>
      </c>
      <c r="C669" s="99"/>
      <c r="D669" s="99"/>
      <c r="E669" s="100"/>
      <c r="F669" s="47">
        <f>F668-F667</f>
        <v>-184500</v>
      </c>
    </row>
    <row r="670" spans="1:6" ht="15.75" thickBot="1" x14ac:dyDescent="0.25"/>
    <row r="671" spans="1:6" x14ac:dyDescent="0.2">
      <c r="B671" s="6" t="s">
        <v>2</v>
      </c>
      <c r="C671" s="138" t="str">
        <f>E2</f>
        <v>Oktober Rabu 21 2026</v>
      </c>
      <c r="D671" s="139"/>
      <c r="E671" s="139"/>
      <c r="F671" s="140"/>
    </row>
    <row r="672" spans="1:6" x14ac:dyDescent="0.2">
      <c r="A672" s="31" t="s">
        <v>42</v>
      </c>
      <c r="B672" s="7" t="s">
        <v>0</v>
      </c>
      <c r="C672" s="124" t="s">
        <v>94</v>
      </c>
      <c r="D672" s="124"/>
      <c r="E672" s="124"/>
      <c r="F672" s="125"/>
    </row>
    <row r="673" spans="2:6" x14ac:dyDescent="0.2">
      <c r="B673" s="7" t="s">
        <v>1</v>
      </c>
      <c r="C673" s="124" t="s">
        <v>59</v>
      </c>
      <c r="D673" s="124"/>
      <c r="E673" s="124"/>
      <c r="F673" s="125"/>
    </row>
    <row r="674" spans="2:6" ht="15.75" thickBot="1" x14ac:dyDescent="0.25">
      <c r="B674" s="7"/>
      <c r="C674" s="124"/>
      <c r="D674" s="124"/>
      <c r="E674" s="124"/>
      <c r="F674" s="125"/>
    </row>
    <row r="675" spans="2:6" x14ac:dyDescent="0.2">
      <c r="B675" s="3" t="s">
        <v>3</v>
      </c>
      <c r="C675" s="4" t="s">
        <v>4</v>
      </c>
      <c r="D675" s="4" t="s">
        <v>5</v>
      </c>
      <c r="E675" s="4" t="s">
        <v>7</v>
      </c>
      <c r="F675" s="23" t="s">
        <v>6</v>
      </c>
    </row>
    <row r="676" spans="2:6" x14ac:dyDescent="0.2">
      <c r="B676" s="35"/>
      <c r="C676" s="1" t="s">
        <v>80</v>
      </c>
      <c r="D676" s="57"/>
      <c r="E676" s="2">
        <v>3800</v>
      </c>
      <c r="F676" s="8">
        <f>(B676-D676) *E676</f>
        <v>0</v>
      </c>
    </row>
    <row r="677" spans="2:6" x14ac:dyDescent="0.2">
      <c r="B677" s="35"/>
      <c r="C677" s="1" t="s">
        <v>16</v>
      </c>
      <c r="D677" s="57"/>
      <c r="E677" s="2">
        <v>9300</v>
      </c>
      <c r="F677" s="8">
        <f>(B677-D677) *E677</f>
        <v>0</v>
      </c>
    </row>
    <row r="678" spans="2:6" x14ac:dyDescent="0.2">
      <c r="B678" s="35"/>
      <c r="C678" s="1" t="s">
        <v>78</v>
      </c>
      <c r="D678" s="57"/>
      <c r="E678" s="2">
        <v>4800</v>
      </c>
      <c r="F678" s="8">
        <f>(B678-D678) *E678</f>
        <v>0</v>
      </c>
    </row>
    <row r="679" spans="2:6" x14ac:dyDescent="0.2">
      <c r="B679" s="35"/>
      <c r="C679" s="1" t="s">
        <v>79</v>
      </c>
      <c r="D679" s="57"/>
      <c r="E679" s="2">
        <v>9375</v>
      </c>
      <c r="F679" s="8">
        <f>(B679-D679) *E679</f>
        <v>0</v>
      </c>
    </row>
    <row r="680" spans="2:6" x14ac:dyDescent="0.2">
      <c r="B680" s="35"/>
      <c r="C680" s="1" t="s">
        <v>17</v>
      </c>
      <c r="D680" s="57"/>
      <c r="E680" s="2">
        <v>17000</v>
      </c>
      <c r="F680" s="8">
        <f>(B680-D680) *E680</f>
        <v>0</v>
      </c>
    </row>
    <row r="681" spans="2:6" x14ac:dyDescent="0.2">
      <c r="B681" s="35"/>
      <c r="C681" s="1" t="s">
        <v>131</v>
      </c>
      <c r="D681" s="57"/>
      <c r="E681" s="2">
        <v>18500</v>
      </c>
      <c r="F681" s="8">
        <f t="shared" ref="F681:F701" si="25">(B681-D681) *E681</f>
        <v>0</v>
      </c>
    </row>
    <row r="682" spans="2:6" x14ac:dyDescent="0.2">
      <c r="B682" s="35"/>
      <c r="C682" s="1" t="s">
        <v>106</v>
      </c>
      <c r="D682" s="57"/>
      <c r="E682" s="2">
        <v>5000</v>
      </c>
      <c r="F682" s="8">
        <f t="shared" si="25"/>
        <v>0</v>
      </c>
    </row>
    <row r="683" spans="2:6" x14ac:dyDescent="0.2">
      <c r="B683" s="35"/>
      <c r="C683" s="1" t="s">
        <v>71</v>
      </c>
      <c r="D683" s="57"/>
      <c r="E683" s="2">
        <v>56000</v>
      </c>
      <c r="F683" s="8">
        <f t="shared" si="25"/>
        <v>0</v>
      </c>
    </row>
    <row r="684" spans="2:6" x14ac:dyDescent="0.2">
      <c r="B684" s="35"/>
      <c r="C684" s="1" t="s">
        <v>103</v>
      </c>
      <c r="D684" s="57"/>
      <c r="E684" s="2">
        <v>18500</v>
      </c>
      <c r="F684" s="8">
        <f t="shared" si="25"/>
        <v>0</v>
      </c>
    </row>
    <row r="685" spans="2:6" x14ac:dyDescent="0.2">
      <c r="B685" s="35"/>
      <c r="C685" s="1" t="s">
        <v>72</v>
      </c>
      <c r="D685" s="57"/>
      <c r="E685" s="2">
        <v>3800</v>
      </c>
      <c r="F685" s="8">
        <f t="shared" si="25"/>
        <v>0</v>
      </c>
    </row>
    <row r="686" spans="2:6" x14ac:dyDescent="0.2">
      <c r="B686" s="35"/>
      <c r="C686" s="1" t="s">
        <v>98</v>
      </c>
      <c r="D686" s="57"/>
      <c r="E686" s="2">
        <v>4700</v>
      </c>
      <c r="F686" s="8">
        <f t="shared" si="25"/>
        <v>0</v>
      </c>
    </row>
    <row r="687" spans="2:6" x14ac:dyDescent="0.2">
      <c r="B687" s="35"/>
      <c r="C687" s="1" t="s">
        <v>77</v>
      </c>
      <c r="D687" s="57"/>
      <c r="E687" s="2">
        <v>9250</v>
      </c>
      <c r="F687" s="8">
        <f t="shared" si="25"/>
        <v>0</v>
      </c>
    </row>
    <row r="688" spans="2:6" x14ac:dyDescent="0.2">
      <c r="B688" s="35"/>
      <c r="C688" s="1" t="s">
        <v>84</v>
      </c>
      <c r="D688" s="57"/>
      <c r="E688" s="2">
        <v>8500</v>
      </c>
      <c r="F688" s="8">
        <f t="shared" si="25"/>
        <v>0</v>
      </c>
    </row>
    <row r="689" spans="2:6" x14ac:dyDescent="0.2">
      <c r="B689" s="35"/>
      <c r="C689" s="1" t="s">
        <v>73</v>
      </c>
      <c r="D689" s="57"/>
      <c r="E689" s="2">
        <v>8650</v>
      </c>
      <c r="F689" s="8">
        <f t="shared" si="25"/>
        <v>0</v>
      </c>
    </row>
    <row r="690" spans="2:6" x14ac:dyDescent="0.2">
      <c r="B690" s="35"/>
      <c r="C690" s="1" t="s">
        <v>76</v>
      </c>
      <c r="D690" s="57"/>
      <c r="E690" s="2">
        <v>9250</v>
      </c>
      <c r="F690" s="8">
        <f t="shared" si="25"/>
        <v>0</v>
      </c>
    </row>
    <row r="691" spans="2:6" x14ac:dyDescent="0.2">
      <c r="B691" s="35"/>
      <c r="C691" s="1" t="s">
        <v>74</v>
      </c>
      <c r="D691" s="57"/>
      <c r="E691" s="2">
        <v>3800</v>
      </c>
      <c r="F691" s="8">
        <f t="shared" si="25"/>
        <v>0</v>
      </c>
    </row>
    <row r="692" spans="2:6" x14ac:dyDescent="0.2">
      <c r="B692" s="35"/>
      <c r="C692" s="1" t="s">
        <v>85</v>
      </c>
      <c r="D692" s="57"/>
      <c r="E692" s="2">
        <v>3700</v>
      </c>
      <c r="F692" s="8">
        <f t="shared" si="25"/>
        <v>0</v>
      </c>
    </row>
    <row r="693" spans="2:6" x14ac:dyDescent="0.2">
      <c r="B693" s="35"/>
      <c r="C693" s="1" t="s">
        <v>99</v>
      </c>
      <c r="D693" s="57"/>
      <c r="E693" s="2">
        <v>8600</v>
      </c>
      <c r="F693" s="8">
        <f t="shared" si="25"/>
        <v>0</v>
      </c>
    </row>
    <row r="694" spans="2:6" x14ac:dyDescent="0.2">
      <c r="B694" s="80"/>
      <c r="C694" s="1" t="s">
        <v>108</v>
      </c>
      <c r="D694" s="84"/>
      <c r="E694" s="2">
        <v>9000</v>
      </c>
      <c r="F694" s="8">
        <f t="shared" si="25"/>
        <v>0</v>
      </c>
    </row>
    <row r="695" spans="2:6" x14ac:dyDescent="0.2">
      <c r="B695" s="35"/>
      <c r="C695" s="1" t="s">
        <v>104</v>
      </c>
      <c r="D695" s="57"/>
      <c r="E695" s="2">
        <v>16000</v>
      </c>
      <c r="F695" s="8">
        <f t="shared" si="25"/>
        <v>0</v>
      </c>
    </row>
    <row r="696" spans="2:6" x14ac:dyDescent="0.2">
      <c r="B696" s="35"/>
      <c r="C696" s="1" t="s">
        <v>107</v>
      </c>
      <c r="D696" s="57"/>
      <c r="E696" s="2">
        <v>3500</v>
      </c>
      <c r="F696" s="8">
        <f t="shared" si="25"/>
        <v>0</v>
      </c>
    </row>
    <row r="697" spans="2:6" x14ac:dyDescent="0.2">
      <c r="B697" s="35"/>
      <c r="C697" s="1" t="s">
        <v>110</v>
      </c>
      <c r="D697" s="57"/>
      <c r="E697" s="2">
        <v>18500</v>
      </c>
      <c r="F697" s="8">
        <f t="shared" si="25"/>
        <v>0</v>
      </c>
    </row>
    <row r="698" spans="2:6" x14ac:dyDescent="0.2">
      <c r="B698" s="35"/>
      <c r="C698" s="1" t="s">
        <v>110</v>
      </c>
      <c r="D698" s="57"/>
      <c r="E698" s="2">
        <v>18500</v>
      </c>
      <c r="F698" s="8">
        <f t="shared" si="25"/>
        <v>0</v>
      </c>
    </row>
    <row r="699" spans="2:6" x14ac:dyDescent="0.2">
      <c r="B699" s="35"/>
      <c r="C699" s="1"/>
      <c r="D699" s="57"/>
      <c r="E699" s="2"/>
      <c r="F699" s="8">
        <f t="shared" si="25"/>
        <v>0</v>
      </c>
    </row>
    <row r="700" spans="2:6" x14ac:dyDescent="0.2">
      <c r="B700" s="35"/>
      <c r="C700" s="1" t="s">
        <v>120</v>
      </c>
      <c r="D700" s="57"/>
      <c r="E700" s="2">
        <v>18500</v>
      </c>
      <c r="F700" s="8">
        <f t="shared" si="25"/>
        <v>0</v>
      </c>
    </row>
    <row r="701" spans="2:6" x14ac:dyDescent="0.2">
      <c r="B701" s="9"/>
      <c r="C701" s="68"/>
      <c r="D701" s="57"/>
      <c r="E701" s="1"/>
      <c r="F701" s="8">
        <f t="shared" si="25"/>
        <v>0</v>
      </c>
    </row>
    <row r="702" spans="2:6" ht="15.75" thickBot="1" x14ac:dyDescent="0.25">
      <c r="B702" s="128" t="s">
        <v>12</v>
      </c>
      <c r="C702" s="129"/>
      <c r="D702" s="129"/>
      <c r="E702" s="130"/>
      <c r="F702" s="90">
        <f>SUM(F676:F701)</f>
        <v>0</v>
      </c>
    </row>
    <row r="703" spans="2:6" x14ac:dyDescent="0.2">
      <c r="B703" s="164" t="s">
        <v>8</v>
      </c>
      <c r="C703" s="165"/>
      <c r="D703" s="165"/>
      <c r="E703" s="166"/>
      <c r="F703" s="48">
        <v>1675000</v>
      </c>
    </row>
    <row r="704" spans="2:6" x14ac:dyDescent="0.2">
      <c r="B704" s="134" t="s">
        <v>9</v>
      </c>
      <c r="C704" s="135"/>
      <c r="D704" s="135"/>
      <c r="E704" s="92"/>
      <c r="F704" s="46">
        <f>F702+F703</f>
        <v>1675000</v>
      </c>
    </row>
    <row r="705" spans="1:6" x14ac:dyDescent="0.2">
      <c r="B705" s="134" t="s">
        <v>10</v>
      </c>
      <c r="C705" s="135"/>
      <c r="D705" s="135"/>
      <c r="E705" s="92"/>
      <c r="F705" s="8">
        <v>0</v>
      </c>
    </row>
    <row r="706" spans="1:6" ht="15.75" thickBot="1" x14ac:dyDescent="0.25">
      <c r="B706" s="98" t="s">
        <v>11</v>
      </c>
      <c r="C706" s="99"/>
      <c r="D706" s="99"/>
      <c r="E706" s="100"/>
      <c r="F706" s="47">
        <f>F705-F704</f>
        <v>-1675000</v>
      </c>
    </row>
    <row r="707" spans="1:6" ht="15.75" thickBot="1" x14ac:dyDescent="0.25"/>
    <row r="708" spans="1:6" x14ac:dyDescent="0.2">
      <c r="B708" s="6" t="s">
        <v>2</v>
      </c>
      <c r="C708" s="138" t="str">
        <f>E2</f>
        <v>Oktober Rabu 21 2026</v>
      </c>
      <c r="D708" s="139"/>
      <c r="E708" s="139"/>
      <c r="F708" s="140"/>
    </row>
    <row r="709" spans="1:6" x14ac:dyDescent="0.2">
      <c r="A709" s="31" t="s">
        <v>43</v>
      </c>
      <c r="B709" s="7" t="s">
        <v>0</v>
      </c>
      <c r="C709" s="124" t="s">
        <v>100</v>
      </c>
      <c r="D709" s="124"/>
      <c r="E709" s="124"/>
      <c r="F709" s="125"/>
    </row>
    <row r="710" spans="1:6" x14ac:dyDescent="0.2">
      <c r="B710" s="7" t="s">
        <v>1</v>
      </c>
      <c r="C710" s="124" t="s">
        <v>61</v>
      </c>
      <c r="D710" s="124"/>
      <c r="E710" s="124"/>
      <c r="F710" s="125"/>
    </row>
    <row r="711" spans="1:6" ht="15.75" thickBot="1" x14ac:dyDescent="0.25">
      <c r="B711" s="7"/>
      <c r="C711" s="126"/>
      <c r="D711" s="126"/>
      <c r="E711" s="126"/>
      <c r="F711" s="127"/>
    </row>
    <row r="712" spans="1:6" x14ac:dyDescent="0.2">
      <c r="B712" s="3" t="s">
        <v>3</v>
      </c>
      <c r="C712" s="4" t="s">
        <v>4</v>
      </c>
      <c r="D712" s="4" t="s">
        <v>5</v>
      </c>
      <c r="E712" s="4" t="s">
        <v>7</v>
      </c>
      <c r="F712" s="5" t="s">
        <v>6</v>
      </c>
    </row>
    <row r="713" spans="1:6" x14ac:dyDescent="0.2">
      <c r="B713" s="19">
        <v>25</v>
      </c>
      <c r="C713" s="1" t="s">
        <v>80</v>
      </c>
      <c r="D713" s="57"/>
      <c r="E713" s="2">
        <v>3800</v>
      </c>
      <c r="F713" s="8">
        <f>(B713-D713) *E713</f>
        <v>95000</v>
      </c>
    </row>
    <row r="714" spans="1:6" x14ac:dyDescent="0.2">
      <c r="B714" s="19">
        <v>10</v>
      </c>
      <c r="C714" s="1" t="s">
        <v>16</v>
      </c>
      <c r="D714" s="57"/>
      <c r="E714" s="2">
        <v>9300</v>
      </c>
      <c r="F714" s="8">
        <f>(B714-D714) *E714</f>
        <v>93000</v>
      </c>
    </row>
    <row r="715" spans="1:6" x14ac:dyDescent="0.2">
      <c r="B715" s="19">
        <v>10</v>
      </c>
      <c r="C715" s="1" t="s">
        <v>78</v>
      </c>
      <c r="D715" s="57"/>
      <c r="E715" s="2">
        <v>4800</v>
      </c>
      <c r="F715" s="8">
        <f>(B715-D715) *E715</f>
        <v>48000</v>
      </c>
    </row>
    <row r="716" spans="1:6" x14ac:dyDescent="0.2">
      <c r="B716" s="19"/>
      <c r="C716" s="1" t="s">
        <v>79</v>
      </c>
      <c r="D716" s="57"/>
      <c r="E716" s="2">
        <v>222000</v>
      </c>
      <c r="F716" s="8">
        <f>(B716-D716) *E716</f>
        <v>0</v>
      </c>
    </row>
    <row r="717" spans="1:6" x14ac:dyDescent="0.2">
      <c r="B717" s="19"/>
      <c r="C717" s="1" t="s">
        <v>17</v>
      </c>
      <c r="D717" s="57"/>
      <c r="E717" s="2">
        <v>17000</v>
      </c>
      <c r="F717" s="8">
        <f>(B717-D717) *E717</f>
        <v>0</v>
      </c>
    </row>
    <row r="718" spans="1:6" x14ac:dyDescent="0.2">
      <c r="B718" s="19"/>
      <c r="C718" s="1" t="s">
        <v>105</v>
      </c>
      <c r="D718" s="57"/>
      <c r="E718" s="2">
        <v>75000</v>
      </c>
      <c r="F718" s="8">
        <f t="shared" ref="F718:F738" si="26">(B718-D718) *E718</f>
        <v>0</v>
      </c>
    </row>
    <row r="719" spans="1:6" x14ac:dyDescent="0.2">
      <c r="B719" s="19"/>
      <c r="C719" s="1" t="s">
        <v>106</v>
      </c>
      <c r="D719" s="57"/>
      <c r="E719" s="2">
        <v>5000</v>
      </c>
      <c r="F719" s="8">
        <f t="shared" si="26"/>
        <v>0</v>
      </c>
    </row>
    <row r="720" spans="1:6" x14ac:dyDescent="0.2">
      <c r="B720" s="19"/>
      <c r="C720" s="1" t="s">
        <v>71</v>
      </c>
      <c r="D720" s="57"/>
      <c r="E720" s="2">
        <v>56000</v>
      </c>
      <c r="F720" s="8">
        <f t="shared" si="26"/>
        <v>0</v>
      </c>
    </row>
    <row r="721" spans="2:6" x14ac:dyDescent="0.2">
      <c r="B721" s="35"/>
      <c r="C721" s="1" t="s">
        <v>103</v>
      </c>
      <c r="D721" s="57"/>
      <c r="E721" s="2">
        <v>430000</v>
      </c>
      <c r="F721" s="8">
        <f t="shared" si="26"/>
        <v>0</v>
      </c>
    </row>
    <row r="722" spans="2:6" x14ac:dyDescent="0.2">
      <c r="B722" s="35">
        <v>20</v>
      </c>
      <c r="C722" s="1" t="s">
        <v>72</v>
      </c>
      <c r="D722" s="57"/>
      <c r="E722" s="2">
        <v>3800</v>
      </c>
      <c r="F722" s="8">
        <f t="shared" si="26"/>
        <v>76000</v>
      </c>
    </row>
    <row r="723" spans="2:6" x14ac:dyDescent="0.2">
      <c r="B723" s="35"/>
      <c r="C723" s="1" t="s">
        <v>98</v>
      </c>
      <c r="D723" s="57"/>
      <c r="E723" s="2">
        <v>4700</v>
      </c>
      <c r="F723" s="8">
        <f t="shared" si="26"/>
        <v>0</v>
      </c>
    </row>
    <row r="724" spans="2:6" x14ac:dyDescent="0.2">
      <c r="B724" s="35"/>
      <c r="C724" s="1" t="s">
        <v>77</v>
      </c>
      <c r="D724" s="57"/>
      <c r="E724" s="2">
        <v>9250</v>
      </c>
      <c r="F724" s="8">
        <f t="shared" si="26"/>
        <v>0</v>
      </c>
    </row>
    <row r="725" spans="2:6" x14ac:dyDescent="0.2">
      <c r="B725" s="35"/>
      <c r="C725" s="1" t="s">
        <v>84</v>
      </c>
      <c r="D725" s="57"/>
      <c r="E725" s="2">
        <v>8500</v>
      </c>
      <c r="F725" s="8">
        <f t="shared" si="26"/>
        <v>0</v>
      </c>
    </row>
    <row r="726" spans="2:6" x14ac:dyDescent="0.2">
      <c r="B726" s="35"/>
      <c r="C726" s="1" t="s">
        <v>73</v>
      </c>
      <c r="D726" s="57"/>
      <c r="E726" s="2">
        <v>8650</v>
      </c>
      <c r="F726" s="8">
        <f t="shared" si="26"/>
        <v>0</v>
      </c>
    </row>
    <row r="727" spans="2:6" x14ac:dyDescent="0.2">
      <c r="B727" s="35"/>
      <c r="C727" s="1" t="s">
        <v>76</v>
      </c>
      <c r="D727" s="57"/>
      <c r="E727" s="2">
        <v>9250</v>
      </c>
      <c r="F727" s="8">
        <f t="shared" si="26"/>
        <v>0</v>
      </c>
    </row>
    <row r="728" spans="2:6" x14ac:dyDescent="0.2">
      <c r="B728" s="35"/>
      <c r="C728" s="1" t="s">
        <v>74</v>
      </c>
      <c r="D728" s="57"/>
      <c r="E728" s="2">
        <v>3800</v>
      </c>
      <c r="F728" s="8">
        <f t="shared" si="26"/>
        <v>0</v>
      </c>
    </row>
    <row r="729" spans="2:6" x14ac:dyDescent="0.2">
      <c r="B729" s="19"/>
      <c r="C729" s="1" t="s">
        <v>85</v>
      </c>
      <c r="D729" s="57"/>
      <c r="E729" s="2">
        <v>3700</v>
      </c>
      <c r="F729" s="8">
        <f t="shared" si="26"/>
        <v>0</v>
      </c>
    </row>
    <row r="730" spans="2:6" x14ac:dyDescent="0.2">
      <c r="B730" s="35"/>
      <c r="C730" s="1" t="s">
        <v>99</v>
      </c>
      <c r="D730" s="57"/>
      <c r="E730" s="2">
        <v>216000</v>
      </c>
      <c r="F730" s="8">
        <f t="shared" si="26"/>
        <v>0</v>
      </c>
    </row>
    <row r="731" spans="2:6" x14ac:dyDescent="0.2">
      <c r="B731" s="72"/>
      <c r="C731" s="1" t="s">
        <v>108</v>
      </c>
      <c r="D731" s="71"/>
      <c r="E731" s="2">
        <v>430000</v>
      </c>
      <c r="F731" s="8">
        <f t="shared" si="26"/>
        <v>0</v>
      </c>
    </row>
    <row r="732" spans="2:6" x14ac:dyDescent="0.2">
      <c r="B732" s="35"/>
      <c r="C732" s="1" t="s">
        <v>104</v>
      </c>
      <c r="D732" s="57"/>
      <c r="E732" s="2"/>
      <c r="F732" s="8">
        <f t="shared" si="26"/>
        <v>0</v>
      </c>
    </row>
    <row r="733" spans="2:6" x14ac:dyDescent="0.2">
      <c r="B733" s="35"/>
      <c r="C733" s="1" t="s">
        <v>107</v>
      </c>
      <c r="D733" s="57"/>
      <c r="E733" s="2"/>
      <c r="F733" s="8">
        <f t="shared" si="26"/>
        <v>0</v>
      </c>
    </row>
    <row r="734" spans="2:6" x14ac:dyDescent="0.2">
      <c r="B734" s="35"/>
      <c r="C734" s="1"/>
      <c r="D734" s="57"/>
      <c r="E734" s="2"/>
      <c r="F734" s="8">
        <f t="shared" si="26"/>
        <v>0</v>
      </c>
    </row>
    <row r="735" spans="2:6" x14ac:dyDescent="0.2">
      <c r="B735" s="35"/>
      <c r="C735" s="1"/>
      <c r="D735" s="57"/>
      <c r="E735" s="2"/>
      <c r="F735" s="8">
        <f t="shared" si="26"/>
        <v>0</v>
      </c>
    </row>
    <row r="736" spans="2:6" x14ac:dyDescent="0.2">
      <c r="B736" s="35"/>
      <c r="C736" s="1"/>
      <c r="D736" s="57"/>
      <c r="E736" s="2"/>
      <c r="F736" s="8">
        <f t="shared" si="26"/>
        <v>0</v>
      </c>
    </row>
    <row r="737" spans="1:6" x14ac:dyDescent="0.2">
      <c r="B737" s="35"/>
      <c r="C737" s="1"/>
      <c r="D737" s="57"/>
      <c r="E737" s="2"/>
      <c r="F737" s="8">
        <f t="shared" si="26"/>
        <v>0</v>
      </c>
    </row>
    <row r="738" spans="1:6" x14ac:dyDescent="0.2">
      <c r="B738" s="9"/>
      <c r="C738" s="68"/>
      <c r="D738" s="57"/>
      <c r="E738" s="1"/>
      <c r="F738" s="8">
        <f t="shared" si="26"/>
        <v>0</v>
      </c>
    </row>
    <row r="739" spans="1:6" ht="15.75" thickBot="1" x14ac:dyDescent="0.25">
      <c r="B739" s="128" t="s">
        <v>12</v>
      </c>
      <c r="C739" s="129"/>
      <c r="D739" s="129"/>
      <c r="E739" s="130"/>
      <c r="F739" s="45">
        <f>SUM(F713:F738)</f>
        <v>312000</v>
      </c>
    </row>
    <row r="740" spans="1:6" x14ac:dyDescent="0.2">
      <c r="B740" s="131" t="s">
        <v>8</v>
      </c>
      <c r="C740" s="132"/>
      <c r="D740" s="132"/>
      <c r="E740" s="133"/>
      <c r="F740" s="17">
        <v>0</v>
      </c>
    </row>
    <row r="741" spans="1:6" x14ac:dyDescent="0.2">
      <c r="B741" s="134" t="s">
        <v>9</v>
      </c>
      <c r="C741" s="135"/>
      <c r="D741" s="135"/>
      <c r="E741" s="92"/>
      <c r="F741" s="46">
        <f>F739+F740</f>
        <v>312000</v>
      </c>
    </row>
    <row r="742" spans="1:6" x14ac:dyDescent="0.2">
      <c r="B742" s="134" t="s">
        <v>10</v>
      </c>
      <c r="C742" s="135"/>
      <c r="D742" s="135"/>
      <c r="E742" s="92"/>
      <c r="F742" s="8">
        <v>312000</v>
      </c>
    </row>
    <row r="743" spans="1:6" ht="15.75" thickBot="1" x14ac:dyDescent="0.25">
      <c r="B743" s="98" t="s">
        <v>11</v>
      </c>
      <c r="C743" s="99"/>
      <c r="D743" s="99"/>
      <c r="E743" s="100"/>
      <c r="F743" s="47">
        <f>F742-F741</f>
        <v>0</v>
      </c>
    </row>
    <row r="744" spans="1:6" ht="15.75" thickBot="1" x14ac:dyDescent="0.25"/>
    <row r="745" spans="1:6" x14ac:dyDescent="0.2">
      <c r="B745" s="6" t="s">
        <v>2</v>
      </c>
      <c r="C745" s="138" t="str">
        <f>E2</f>
        <v>Oktober Rabu 21 2026</v>
      </c>
      <c r="D745" s="139"/>
      <c r="E745" s="139"/>
      <c r="F745" s="140"/>
    </row>
    <row r="746" spans="1:6" x14ac:dyDescent="0.2">
      <c r="A746" s="31" t="s">
        <v>109</v>
      </c>
      <c r="B746" s="7" t="s">
        <v>0</v>
      </c>
      <c r="C746" s="124" t="s">
        <v>82</v>
      </c>
      <c r="D746" s="124"/>
      <c r="E746" s="124"/>
      <c r="F746" s="125"/>
    </row>
    <row r="747" spans="1:6" x14ac:dyDescent="0.2">
      <c r="B747" s="7" t="s">
        <v>1</v>
      </c>
      <c r="C747" s="124" t="s">
        <v>61</v>
      </c>
      <c r="D747" s="124"/>
      <c r="E747" s="124"/>
      <c r="F747" s="125"/>
    </row>
    <row r="748" spans="1:6" ht="15.75" thickBot="1" x14ac:dyDescent="0.25">
      <c r="B748" s="7"/>
      <c r="C748" s="126"/>
      <c r="D748" s="126"/>
      <c r="E748" s="126"/>
      <c r="F748" s="127"/>
    </row>
    <row r="749" spans="1:6" x14ac:dyDescent="0.2">
      <c r="B749" s="3" t="s">
        <v>3</v>
      </c>
      <c r="C749" s="4" t="s">
        <v>4</v>
      </c>
      <c r="D749" s="4" t="s">
        <v>5</v>
      </c>
      <c r="E749" s="4" t="s">
        <v>7</v>
      </c>
      <c r="F749" s="5" t="s">
        <v>6</v>
      </c>
    </row>
    <row r="750" spans="1:6" x14ac:dyDescent="0.2">
      <c r="B750" s="19"/>
      <c r="C750" s="1" t="s">
        <v>80</v>
      </c>
      <c r="D750" s="57"/>
      <c r="E750" s="2">
        <v>3700</v>
      </c>
      <c r="F750" s="8">
        <f>(B750-D750) *E750</f>
        <v>0</v>
      </c>
    </row>
    <row r="751" spans="1:6" x14ac:dyDescent="0.2">
      <c r="B751" s="19"/>
      <c r="C751" s="1" t="s">
        <v>16</v>
      </c>
      <c r="D751" s="57"/>
      <c r="E751" s="2">
        <v>9300</v>
      </c>
      <c r="F751" s="8">
        <f>(B751-D751) *E751</f>
        <v>0</v>
      </c>
    </row>
    <row r="752" spans="1:6" x14ac:dyDescent="0.2">
      <c r="B752" s="19"/>
      <c r="C752" s="1" t="s">
        <v>78</v>
      </c>
      <c r="D752" s="57"/>
      <c r="E752" s="2">
        <v>4700</v>
      </c>
      <c r="F752" s="8">
        <f>(B752-D752) *E752</f>
        <v>0</v>
      </c>
    </row>
    <row r="753" spans="2:6" x14ac:dyDescent="0.2">
      <c r="B753" s="19"/>
      <c r="C753" s="1" t="s">
        <v>79</v>
      </c>
      <c r="D753" s="57"/>
      <c r="E753" s="2">
        <v>9375</v>
      </c>
      <c r="F753" s="8">
        <f>(B753-D753) *E753</f>
        <v>0</v>
      </c>
    </row>
    <row r="754" spans="2:6" x14ac:dyDescent="0.2">
      <c r="B754" s="19"/>
      <c r="C754" s="1" t="s">
        <v>17</v>
      </c>
      <c r="D754" s="57"/>
      <c r="E754" s="2">
        <v>17000</v>
      </c>
      <c r="F754" s="8">
        <f>(B754-D754) *E754</f>
        <v>0</v>
      </c>
    </row>
    <row r="755" spans="2:6" x14ac:dyDescent="0.2">
      <c r="B755" s="19"/>
      <c r="C755" s="1" t="s">
        <v>105</v>
      </c>
      <c r="D755" s="57"/>
      <c r="E755" s="2">
        <v>75000</v>
      </c>
      <c r="F755" s="8">
        <f t="shared" ref="F755:F775" si="27">(B755-D755) *E755</f>
        <v>0</v>
      </c>
    </row>
    <row r="756" spans="2:6" x14ac:dyDescent="0.2">
      <c r="B756" s="19"/>
      <c r="C756" s="1" t="s">
        <v>106</v>
      </c>
      <c r="D756" s="57"/>
      <c r="E756" s="2">
        <v>5000</v>
      </c>
      <c r="F756" s="8">
        <f t="shared" si="27"/>
        <v>0</v>
      </c>
    </row>
    <row r="757" spans="2:6" x14ac:dyDescent="0.2">
      <c r="B757" s="19"/>
      <c r="C757" s="1" t="s">
        <v>71</v>
      </c>
      <c r="D757" s="57"/>
      <c r="E757" s="2">
        <v>56000</v>
      </c>
      <c r="F757" s="8">
        <f t="shared" si="27"/>
        <v>0</v>
      </c>
    </row>
    <row r="758" spans="2:6" x14ac:dyDescent="0.2">
      <c r="B758" s="35"/>
      <c r="C758" s="1" t="s">
        <v>103</v>
      </c>
      <c r="D758" s="57"/>
      <c r="E758" s="2">
        <v>23700</v>
      </c>
      <c r="F758" s="8">
        <f t="shared" si="27"/>
        <v>0</v>
      </c>
    </row>
    <row r="759" spans="2:6" x14ac:dyDescent="0.2">
      <c r="B759" s="35"/>
      <c r="C759" s="1" t="s">
        <v>72</v>
      </c>
      <c r="D759" s="57"/>
      <c r="E759" s="2">
        <v>3800</v>
      </c>
      <c r="F759" s="8">
        <f t="shared" si="27"/>
        <v>0</v>
      </c>
    </row>
    <row r="760" spans="2:6" x14ac:dyDescent="0.2">
      <c r="B760" s="35"/>
      <c r="C760" s="1" t="s">
        <v>98</v>
      </c>
      <c r="D760" s="57"/>
      <c r="E760" s="2">
        <v>4600</v>
      </c>
      <c r="F760" s="8">
        <f t="shared" si="27"/>
        <v>0</v>
      </c>
    </row>
    <row r="761" spans="2:6" x14ac:dyDescent="0.2">
      <c r="B761" s="35"/>
      <c r="C761" s="1" t="s">
        <v>114</v>
      </c>
      <c r="D761" s="57"/>
      <c r="E761" s="2">
        <v>9250</v>
      </c>
      <c r="F761" s="8">
        <f t="shared" si="27"/>
        <v>0</v>
      </c>
    </row>
    <row r="762" spans="2:6" x14ac:dyDescent="0.2">
      <c r="B762" s="35"/>
      <c r="C762" s="1" t="s">
        <v>84</v>
      </c>
      <c r="D762" s="57"/>
      <c r="E762" s="2">
        <v>223000</v>
      </c>
      <c r="F762" s="8">
        <f t="shared" si="27"/>
        <v>0</v>
      </c>
    </row>
    <row r="763" spans="2:6" x14ac:dyDescent="0.2">
      <c r="B763" s="35"/>
      <c r="C763" s="1" t="s">
        <v>73</v>
      </c>
      <c r="D763" s="57"/>
      <c r="E763" s="2">
        <v>8650</v>
      </c>
      <c r="F763" s="8">
        <f t="shared" si="27"/>
        <v>0</v>
      </c>
    </row>
    <row r="764" spans="2:6" x14ac:dyDescent="0.2">
      <c r="B764" s="35"/>
      <c r="C764" s="1" t="s">
        <v>76</v>
      </c>
      <c r="D764" s="57"/>
      <c r="E764" s="2">
        <v>9250</v>
      </c>
      <c r="F764" s="8">
        <f t="shared" si="27"/>
        <v>0</v>
      </c>
    </row>
    <row r="765" spans="2:6" x14ac:dyDescent="0.2">
      <c r="B765" s="35"/>
      <c r="C765" s="1" t="s">
        <v>74</v>
      </c>
      <c r="D765" s="57"/>
      <c r="E765" s="2">
        <v>3800</v>
      </c>
      <c r="F765" s="8">
        <f t="shared" si="27"/>
        <v>0</v>
      </c>
    </row>
    <row r="766" spans="2:6" x14ac:dyDescent="0.2">
      <c r="B766" s="19"/>
      <c r="C766" s="1" t="s">
        <v>85</v>
      </c>
      <c r="D766" s="57"/>
      <c r="E766" s="2">
        <v>3700</v>
      </c>
      <c r="F766" s="8">
        <f t="shared" si="27"/>
        <v>0</v>
      </c>
    </row>
    <row r="767" spans="2:6" x14ac:dyDescent="0.2">
      <c r="B767" s="35"/>
      <c r="C767" s="1" t="s">
        <v>99</v>
      </c>
      <c r="D767" s="57"/>
      <c r="E767" s="2">
        <v>216000</v>
      </c>
      <c r="F767" s="8">
        <f t="shared" si="27"/>
        <v>0</v>
      </c>
    </row>
    <row r="768" spans="2:6" x14ac:dyDescent="0.2">
      <c r="B768" s="72"/>
      <c r="C768" s="1" t="s">
        <v>108</v>
      </c>
      <c r="D768" s="71"/>
      <c r="E768" s="2">
        <v>16750</v>
      </c>
      <c r="F768" s="8">
        <f t="shared" si="27"/>
        <v>0</v>
      </c>
    </row>
    <row r="769" spans="1:6" x14ac:dyDescent="0.2">
      <c r="B769" s="35"/>
      <c r="C769" s="1" t="s">
        <v>130</v>
      </c>
      <c r="D769" s="57"/>
      <c r="E769" s="2">
        <v>17500</v>
      </c>
      <c r="F769" s="8">
        <f t="shared" si="27"/>
        <v>0</v>
      </c>
    </row>
    <row r="770" spans="1:6" x14ac:dyDescent="0.2">
      <c r="B770" s="35"/>
      <c r="C770" s="1" t="s">
        <v>107</v>
      </c>
      <c r="D770" s="57"/>
      <c r="E770" s="2"/>
      <c r="F770" s="8">
        <f t="shared" si="27"/>
        <v>0</v>
      </c>
    </row>
    <row r="771" spans="1:6" x14ac:dyDescent="0.2">
      <c r="B771" s="35"/>
      <c r="C771" s="1"/>
      <c r="D771" s="57"/>
      <c r="E771" s="2"/>
      <c r="F771" s="8">
        <f t="shared" si="27"/>
        <v>0</v>
      </c>
    </row>
    <row r="772" spans="1:6" x14ac:dyDescent="0.2">
      <c r="B772" s="35"/>
      <c r="C772" s="1" t="s">
        <v>119</v>
      </c>
      <c r="D772" s="57"/>
      <c r="E772" s="2">
        <v>17500</v>
      </c>
      <c r="F772" s="8">
        <f t="shared" si="27"/>
        <v>0</v>
      </c>
    </row>
    <row r="773" spans="1:6" x14ac:dyDescent="0.2">
      <c r="B773" s="35"/>
      <c r="C773" s="1"/>
      <c r="D773" s="57"/>
      <c r="E773" s="2"/>
      <c r="F773" s="8">
        <f t="shared" si="27"/>
        <v>0</v>
      </c>
    </row>
    <row r="774" spans="1:6" x14ac:dyDescent="0.2">
      <c r="B774" s="35"/>
      <c r="C774" s="1"/>
      <c r="D774" s="57"/>
      <c r="E774" s="2"/>
      <c r="F774" s="8">
        <f t="shared" si="27"/>
        <v>0</v>
      </c>
    </row>
    <row r="775" spans="1:6" x14ac:dyDescent="0.2">
      <c r="B775" s="9"/>
      <c r="C775" s="68"/>
      <c r="D775" s="57"/>
      <c r="E775" s="1"/>
      <c r="F775" s="8">
        <f t="shared" si="27"/>
        <v>0</v>
      </c>
    </row>
    <row r="776" spans="1:6" ht="15.75" thickBot="1" x14ac:dyDescent="0.25">
      <c r="B776" s="128" t="s">
        <v>12</v>
      </c>
      <c r="C776" s="129"/>
      <c r="D776" s="129"/>
      <c r="E776" s="130"/>
      <c r="F776" s="45">
        <f>SUM(F750:F775)</f>
        <v>0</v>
      </c>
    </row>
    <row r="777" spans="1:6" x14ac:dyDescent="0.2">
      <c r="B777" s="131" t="s">
        <v>8</v>
      </c>
      <c r="C777" s="132"/>
      <c r="D777" s="132"/>
      <c r="E777" s="133"/>
      <c r="F777" s="17">
        <v>0</v>
      </c>
    </row>
    <row r="778" spans="1:6" x14ac:dyDescent="0.2">
      <c r="B778" s="134" t="s">
        <v>9</v>
      </c>
      <c r="C778" s="135"/>
      <c r="D778" s="135"/>
      <c r="E778" s="92"/>
      <c r="F778" s="46">
        <f>F776+F777</f>
        <v>0</v>
      </c>
    </row>
    <row r="779" spans="1:6" x14ac:dyDescent="0.2">
      <c r="B779" s="134" t="s">
        <v>10</v>
      </c>
      <c r="C779" s="135"/>
      <c r="D779" s="135"/>
      <c r="E779" s="92"/>
      <c r="F779" s="8">
        <v>0</v>
      </c>
    </row>
    <row r="780" spans="1:6" ht="15.75" thickBot="1" x14ac:dyDescent="0.25">
      <c r="B780" s="98" t="s">
        <v>11</v>
      </c>
      <c r="C780" s="99"/>
      <c r="D780" s="99"/>
      <c r="E780" s="100"/>
      <c r="F780" s="47">
        <f>F779-F778</f>
        <v>0</v>
      </c>
    </row>
    <row r="781" spans="1:6" ht="15.75" thickBot="1" x14ac:dyDescent="0.25"/>
    <row r="782" spans="1:6" x14ac:dyDescent="0.2">
      <c r="B782" s="6" t="s">
        <v>2</v>
      </c>
      <c r="C782" s="138" t="str">
        <f>E2</f>
        <v>Oktober Rabu 21 2026</v>
      </c>
      <c r="D782" s="139"/>
      <c r="E782" s="139"/>
      <c r="F782" s="140"/>
    </row>
    <row r="783" spans="1:6" x14ac:dyDescent="0.2">
      <c r="B783" s="7" t="s">
        <v>0</v>
      </c>
      <c r="C783" s="124" t="s">
        <v>70</v>
      </c>
      <c r="D783" s="124"/>
      <c r="E783" s="124"/>
      <c r="F783" s="125"/>
    </row>
    <row r="784" spans="1:6" x14ac:dyDescent="0.2">
      <c r="A784" s="31" t="s">
        <v>44</v>
      </c>
      <c r="B784" s="7" t="s">
        <v>1</v>
      </c>
      <c r="C784" s="60"/>
      <c r="D784" s="60"/>
      <c r="E784" s="60"/>
      <c r="F784" s="61"/>
    </row>
    <row r="785" spans="2:6" ht="15.75" thickBot="1" x14ac:dyDescent="0.25">
      <c r="B785" s="7"/>
      <c r="C785" s="126"/>
      <c r="D785" s="126"/>
      <c r="E785" s="126"/>
      <c r="F785" s="127"/>
    </row>
    <row r="786" spans="2:6" x14ac:dyDescent="0.2">
      <c r="B786" s="3" t="s">
        <v>3</v>
      </c>
      <c r="C786" s="4" t="s">
        <v>4</v>
      </c>
      <c r="D786" s="4" t="s">
        <v>5</v>
      </c>
      <c r="E786" s="4" t="s">
        <v>7</v>
      </c>
      <c r="F786" s="5" t="s">
        <v>6</v>
      </c>
    </row>
    <row r="787" spans="2:6" x14ac:dyDescent="0.2">
      <c r="B787" s="35"/>
      <c r="C787" s="1" t="s">
        <v>80</v>
      </c>
      <c r="D787" s="57"/>
      <c r="E787" s="2">
        <v>3800</v>
      </c>
      <c r="F787" s="8">
        <f>(B787-D787) *E787</f>
        <v>0</v>
      </c>
    </row>
    <row r="788" spans="2:6" x14ac:dyDescent="0.2">
      <c r="B788" s="35"/>
      <c r="C788" s="1" t="s">
        <v>16</v>
      </c>
      <c r="D788" s="57"/>
      <c r="E788" s="2">
        <v>9300</v>
      </c>
      <c r="F788" s="8">
        <f>(B788-D788) *E788</f>
        <v>0</v>
      </c>
    </row>
    <row r="789" spans="2:6" x14ac:dyDescent="0.2">
      <c r="B789" s="35"/>
      <c r="C789" s="1" t="s">
        <v>78</v>
      </c>
      <c r="D789" s="57"/>
      <c r="E789" s="2">
        <v>4800</v>
      </c>
      <c r="F789" s="8">
        <f>(B789-D789) *E789</f>
        <v>0</v>
      </c>
    </row>
    <row r="790" spans="2:6" x14ac:dyDescent="0.2">
      <c r="B790" s="35"/>
      <c r="C790" s="1" t="s">
        <v>79</v>
      </c>
      <c r="D790" s="57"/>
      <c r="E790" s="2">
        <v>222000</v>
      </c>
      <c r="F790" s="8">
        <f>(B790-D790) *E790</f>
        <v>0</v>
      </c>
    </row>
    <row r="791" spans="2:6" x14ac:dyDescent="0.2">
      <c r="B791" s="35"/>
      <c r="C791" s="1" t="s">
        <v>17</v>
      </c>
      <c r="D791" s="57"/>
      <c r="E791" s="2">
        <v>17000</v>
      </c>
      <c r="F791" s="8">
        <f>(B791-D791) *E791</f>
        <v>0</v>
      </c>
    </row>
    <row r="792" spans="2:6" x14ac:dyDescent="0.2">
      <c r="B792" s="35"/>
      <c r="C792" s="1" t="s">
        <v>105</v>
      </c>
      <c r="D792" s="57"/>
      <c r="E792" s="2">
        <v>75000</v>
      </c>
      <c r="F792" s="8">
        <f t="shared" ref="F792:F812" si="28">(B792-D792) *E792</f>
        <v>0</v>
      </c>
    </row>
    <row r="793" spans="2:6" x14ac:dyDescent="0.2">
      <c r="B793" s="35"/>
      <c r="C793" s="1" t="s">
        <v>106</v>
      </c>
      <c r="D793" s="57"/>
      <c r="E793" s="2">
        <v>5000</v>
      </c>
      <c r="F793" s="8">
        <f t="shared" si="28"/>
        <v>0</v>
      </c>
    </row>
    <row r="794" spans="2:6" x14ac:dyDescent="0.2">
      <c r="B794" s="35"/>
      <c r="C794" s="1" t="s">
        <v>71</v>
      </c>
      <c r="D794" s="57"/>
      <c r="E794" s="2">
        <v>56000</v>
      </c>
      <c r="F794" s="8">
        <f t="shared" si="28"/>
        <v>0</v>
      </c>
    </row>
    <row r="795" spans="2:6" x14ac:dyDescent="0.2">
      <c r="B795" s="35"/>
      <c r="C795" s="1" t="s">
        <v>103</v>
      </c>
      <c r="D795" s="57"/>
      <c r="E795" s="2">
        <v>4500</v>
      </c>
      <c r="F795" s="8">
        <f t="shared" si="28"/>
        <v>0</v>
      </c>
    </row>
    <row r="796" spans="2:6" x14ac:dyDescent="0.2">
      <c r="B796" s="35"/>
      <c r="C796" s="1" t="s">
        <v>72</v>
      </c>
      <c r="D796" s="57"/>
      <c r="E796" s="2">
        <v>3800</v>
      </c>
      <c r="F796" s="8">
        <f t="shared" si="28"/>
        <v>0</v>
      </c>
    </row>
    <row r="797" spans="2:6" x14ac:dyDescent="0.2">
      <c r="B797" s="35"/>
      <c r="C797" s="1" t="s">
        <v>98</v>
      </c>
      <c r="D797" s="57"/>
      <c r="E797" s="2">
        <v>4700</v>
      </c>
      <c r="F797" s="8">
        <f t="shared" si="28"/>
        <v>0</v>
      </c>
    </row>
    <row r="798" spans="2:6" x14ac:dyDescent="0.2">
      <c r="B798" s="35"/>
      <c r="C798" s="1" t="s">
        <v>77</v>
      </c>
      <c r="D798" s="57"/>
      <c r="E798" s="2">
        <v>9250</v>
      </c>
      <c r="F798" s="8">
        <f t="shared" si="28"/>
        <v>0</v>
      </c>
    </row>
    <row r="799" spans="2:6" x14ac:dyDescent="0.2">
      <c r="B799" s="35"/>
      <c r="C799" s="1" t="s">
        <v>84</v>
      </c>
      <c r="D799" s="57"/>
      <c r="E799" s="2">
        <v>8500</v>
      </c>
      <c r="F799" s="8">
        <f t="shared" si="28"/>
        <v>0</v>
      </c>
    </row>
    <row r="800" spans="2:6" x14ac:dyDescent="0.2">
      <c r="B800" s="35"/>
      <c r="C800" s="1" t="s">
        <v>73</v>
      </c>
      <c r="D800" s="57"/>
      <c r="E800" s="2">
        <v>8650</v>
      </c>
      <c r="F800" s="8">
        <f t="shared" si="28"/>
        <v>0</v>
      </c>
    </row>
    <row r="801" spans="2:6" x14ac:dyDescent="0.2">
      <c r="B801" s="35"/>
      <c r="C801" s="1" t="s">
        <v>76</v>
      </c>
      <c r="D801" s="57"/>
      <c r="E801" s="2">
        <v>9250</v>
      </c>
      <c r="F801" s="8">
        <f t="shared" si="28"/>
        <v>0</v>
      </c>
    </row>
    <row r="802" spans="2:6" x14ac:dyDescent="0.2">
      <c r="B802" s="35"/>
      <c r="C802" s="1" t="s">
        <v>74</v>
      </c>
      <c r="D802" s="57"/>
      <c r="E802" s="2">
        <v>3800</v>
      </c>
      <c r="F802" s="8">
        <f t="shared" si="28"/>
        <v>0</v>
      </c>
    </row>
    <row r="803" spans="2:6" x14ac:dyDescent="0.2">
      <c r="B803" s="35"/>
      <c r="C803" s="1" t="s">
        <v>85</v>
      </c>
      <c r="D803" s="57"/>
      <c r="E803" s="2">
        <v>3700</v>
      </c>
      <c r="F803" s="8">
        <f t="shared" si="28"/>
        <v>0</v>
      </c>
    </row>
    <row r="804" spans="2:6" x14ac:dyDescent="0.2">
      <c r="B804" s="35"/>
      <c r="C804" s="1" t="s">
        <v>99</v>
      </c>
      <c r="D804" s="57"/>
      <c r="E804" s="2">
        <v>216000</v>
      </c>
      <c r="F804" s="8">
        <f t="shared" si="28"/>
        <v>0</v>
      </c>
    </row>
    <row r="805" spans="2:6" x14ac:dyDescent="0.2">
      <c r="B805" s="35"/>
      <c r="C805" s="1" t="s">
        <v>108</v>
      </c>
      <c r="D805" s="71"/>
      <c r="E805" s="2">
        <v>9000</v>
      </c>
      <c r="F805" s="8">
        <f t="shared" si="28"/>
        <v>0</v>
      </c>
    </row>
    <row r="806" spans="2:6" x14ac:dyDescent="0.2">
      <c r="B806" s="35"/>
      <c r="C806" s="1" t="s">
        <v>104</v>
      </c>
      <c r="D806" s="57"/>
      <c r="E806" s="2"/>
      <c r="F806" s="8">
        <f t="shared" si="28"/>
        <v>0</v>
      </c>
    </row>
    <row r="807" spans="2:6" x14ac:dyDescent="0.2">
      <c r="B807" s="35"/>
      <c r="C807" s="1" t="s">
        <v>107</v>
      </c>
      <c r="D807" s="57"/>
      <c r="E807" s="2"/>
      <c r="F807" s="8">
        <f t="shared" si="28"/>
        <v>0</v>
      </c>
    </row>
    <row r="808" spans="2:6" x14ac:dyDescent="0.2">
      <c r="B808" s="35"/>
      <c r="C808" s="1"/>
      <c r="D808" s="57"/>
      <c r="E808" s="2"/>
      <c r="F808" s="8">
        <f t="shared" si="28"/>
        <v>0</v>
      </c>
    </row>
    <row r="809" spans="2:6" x14ac:dyDescent="0.2">
      <c r="B809" s="35"/>
      <c r="C809" s="1"/>
      <c r="D809" s="57"/>
      <c r="E809" s="2"/>
      <c r="F809" s="8">
        <f t="shared" si="28"/>
        <v>0</v>
      </c>
    </row>
    <row r="810" spans="2:6" x14ac:dyDescent="0.2">
      <c r="B810" s="35"/>
      <c r="C810" s="1"/>
      <c r="D810" s="57"/>
      <c r="E810" s="2"/>
      <c r="F810" s="8">
        <f t="shared" si="28"/>
        <v>0</v>
      </c>
    </row>
    <row r="811" spans="2:6" x14ac:dyDescent="0.2">
      <c r="B811" s="35"/>
      <c r="C811" s="1"/>
      <c r="D811" s="57"/>
      <c r="E811" s="2"/>
      <c r="F811" s="8">
        <f t="shared" si="28"/>
        <v>0</v>
      </c>
    </row>
    <row r="812" spans="2:6" x14ac:dyDescent="0.2">
      <c r="B812" s="9"/>
      <c r="C812" s="68"/>
      <c r="D812" s="57"/>
      <c r="E812" s="1"/>
      <c r="F812" s="8">
        <f t="shared" si="28"/>
        <v>0</v>
      </c>
    </row>
    <row r="813" spans="2:6" ht="15.75" thickBot="1" x14ac:dyDescent="0.25">
      <c r="B813" s="128" t="s">
        <v>12</v>
      </c>
      <c r="C813" s="129"/>
      <c r="D813" s="129"/>
      <c r="E813" s="130"/>
      <c r="F813" s="49">
        <f>SUM(F787:F812)</f>
        <v>0</v>
      </c>
    </row>
    <row r="814" spans="2:6" x14ac:dyDescent="0.2">
      <c r="B814" s="164" t="s">
        <v>8</v>
      </c>
      <c r="C814" s="165"/>
      <c r="D814" s="165"/>
      <c r="E814" s="166"/>
      <c r="F814" s="48">
        <v>55000</v>
      </c>
    </row>
    <row r="815" spans="2:6" x14ac:dyDescent="0.2">
      <c r="B815" s="134" t="s">
        <v>9</v>
      </c>
      <c r="C815" s="135"/>
      <c r="D815" s="135"/>
      <c r="E815" s="92"/>
      <c r="F815" s="46">
        <f>F813+F814</f>
        <v>55000</v>
      </c>
    </row>
    <row r="816" spans="2:6" x14ac:dyDescent="0.2">
      <c r="B816" s="134" t="s">
        <v>10</v>
      </c>
      <c r="C816" s="135"/>
      <c r="D816" s="135"/>
      <c r="E816" s="92"/>
      <c r="F816" s="8">
        <v>0</v>
      </c>
    </row>
    <row r="817" spans="1:6" ht="15.75" thickBot="1" x14ac:dyDescent="0.25">
      <c r="B817" s="98" t="s">
        <v>11</v>
      </c>
      <c r="C817" s="99"/>
      <c r="D817" s="99"/>
      <c r="E817" s="100"/>
      <c r="F817" s="47">
        <f>F816-F815</f>
        <v>-55000</v>
      </c>
    </row>
    <row r="818" spans="1:6" ht="15.75" thickBot="1" x14ac:dyDescent="0.25"/>
    <row r="819" spans="1:6" x14ac:dyDescent="0.2">
      <c r="B819" s="6" t="s">
        <v>2</v>
      </c>
      <c r="C819" s="138" t="str">
        <f>E2</f>
        <v>Oktober Rabu 21 2026</v>
      </c>
      <c r="D819" s="139"/>
      <c r="E819" s="139"/>
      <c r="F819" s="140"/>
    </row>
    <row r="820" spans="1:6" x14ac:dyDescent="0.2">
      <c r="A820" s="31" t="s">
        <v>45</v>
      </c>
      <c r="B820" s="7" t="s">
        <v>0</v>
      </c>
      <c r="C820" s="124" t="s">
        <v>101</v>
      </c>
      <c r="D820" s="124"/>
      <c r="E820" s="124"/>
      <c r="F820" s="125"/>
    </row>
    <row r="821" spans="1:6" x14ac:dyDescent="0.2">
      <c r="B821" s="7" t="s">
        <v>1</v>
      </c>
      <c r="C821" s="124" t="s">
        <v>61</v>
      </c>
      <c r="D821" s="124"/>
      <c r="E821" s="124"/>
      <c r="F821" s="125"/>
    </row>
    <row r="822" spans="1:6" ht="15.75" thickBot="1" x14ac:dyDescent="0.25">
      <c r="B822" s="7"/>
      <c r="C822" s="126"/>
      <c r="D822" s="126"/>
      <c r="E822" s="126"/>
      <c r="F822" s="127"/>
    </row>
    <row r="823" spans="1:6" x14ac:dyDescent="0.2">
      <c r="B823" s="3" t="s">
        <v>3</v>
      </c>
      <c r="C823" s="4" t="s">
        <v>4</v>
      </c>
      <c r="D823" s="4" t="s">
        <v>5</v>
      </c>
      <c r="E823" s="4" t="s">
        <v>7</v>
      </c>
      <c r="F823" s="5" t="s">
        <v>6</v>
      </c>
    </row>
    <row r="824" spans="1:6" x14ac:dyDescent="0.2">
      <c r="B824" s="19"/>
      <c r="C824" s="1" t="s">
        <v>80</v>
      </c>
      <c r="D824" s="57"/>
      <c r="E824" s="2">
        <v>3800</v>
      </c>
      <c r="F824" s="8">
        <f>(B824-D824) *E824</f>
        <v>0</v>
      </c>
    </row>
    <row r="825" spans="1:6" x14ac:dyDescent="0.2">
      <c r="B825" s="19"/>
      <c r="C825" s="1" t="s">
        <v>16</v>
      </c>
      <c r="D825" s="57"/>
      <c r="E825" s="2">
        <v>9300</v>
      </c>
      <c r="F825" s="8">
        <f>(B825-D825) *E825</f>
        <v>0</v>
      </c>
    </row>
    <row r="826" spans="1:6" x14ac:dyDescent="0.2">
      <c r="B826" s="19"/>
      <c r="C826" s="1" t="s">
        <v>78</v>
      </c>
      <c r="D826" s="57"/>
      <c r="E826" s="2">
        <v>4800</v>
      </c>
      <c r="F826" s="8">
        <f>(B826-D826) *E826</f>
        <v>0</v>
      </c>
    </row>
    <row r="827" spans="1:6" x14ac:dyDescent="0.2">
      <c r="B827" s="19"/>
      <c r="C827" s="1" t="s">
        <v>79</v>
      </c>
      <c r="D827" s="57"/>
      <c r="E827" s="2">
        <v>222000</v>
      </c>
      <c r="F827" s="8">
        <f>(B827-D827) *E827</f>
        <v>0</v>
      </c>
    </row>
    <row r="828" spans="1:6" x14ac:dyDescent="0.2">
      <c r="B828" s="19"/>
      <c r="C828" s="1" t="s">
        <v>17</v>
      </c>
      <c r="D828" s="57"/>
      <c r="E828" s="2">
        <v>17000</v>
      </c>
      <c r="F828" s="8">
        <f>(B828-D828) *E828</f>
        <v>0</v>
      </c>
    </row>
    <row r="829" spans="1:6" x14ac:dyDescent="0.2">
      <c r="B829" s="19"/>
      <c r="C829" s="1" t="s">
        <v>105</v>
      </c>
      <c r="D829" s="57"/>
      <c r="E829" s="2">
        <v>75000</v>
      </c>
      <c r="F829" s="8">
        <f t="shared" ref="F829:F849" si="29">(B829-D829) *E829</f>
        <v>0</v>
      </c>
    </row>
    <row r="830" spans="1:6" x14ac:dyDescent="0.2">
      <c r="B830" s="19"/>
      <c r="C830" s="1" t="s">
        <v>106</v>
      </c>
      <c r="D830" s="57"/>
      <c r="E830" s="2">
        <v>5000</v>
      </c>
      <c r="F830" s="8">
        <f t="shared" si="29"/>
        <v>0</v>
      </c>
    </row>
    <row r="831" spans="1:6" x14ac:dyDescent="0.2">
      <c r="B831" s="19"/>
      <c r="C831" s="1" t="s">
        <v>71</v>
      </c>
      <c r="D831" s="57"/>
      <c r="E831" s="2">
        <v>56000</v>
      </c>
      <c r="F831" s="8">
        <f t="shared" si="29"/>
        <v>0</v>
      </c>
    </row>
    <row r="832" spans="1:6" x14ac:dyDescent="0.2">
      <c r="B832" s="35"/>
      <c r="C832" s="1" t="s">
        <v>103</v>
      </c>
      <c r="D832" s="57"/>
      <c r="E832" s="2">
        <v>4500</v>
      </c>
      <c r="F832" s="8">
        <f t="shared" si="29"/>
        <v>0</v>
      </c>
    </row>
    <row r="833" spans="2:6" x14ac:dyDescent="0.2">
      <c r="B833" s="35"/>
      <c r="C833" s="1" t="s">
        <v>72</v>
      </c>
      <c r="D833" s="57"/>
      <c r="E833" s="2">
        <v>3800</v>
      </c>
      <c r="F833" s="8">
        <f t="shared" si="29"/>
        <v>0</v>
      </c>
    </row>
    <row r="834" spans="2:6" x14ac:dyDescent="0.2">
      <c r="B834" s="35"/>
      <c r="C834" s="1" t="s">
        <v>98</v>
      </c>
      <c r="D834" s="57"/>
      <c r="E834" s="2">
        <v>4700</v>
      </c>
      <c r="F834" s="8">
        <f t="shared" si="29"/>
        <v>0</v>
      </c>
    </row>
    <row r="835" spans="2:6" x14ac:dyDescent="0.2">
      <c r="B835" s="35"/>
      <c r="C835" s="1" t="s">
        <v>77</v>
      </c>
      <c r="D835" s="57"/>
      <c r="E835" s="2">
        <v>9250</v>
      </c>
      <c r="F835" s="8">
        <f t="shared" si="29"/>
        <v>0</v>
      </c>
    </row>
    <row r="836" spans="2:6" x14ac:dyDescent="0.2">
      <c r="B836" s="35"/>
      <c r="C836" s="1" t="s">
        <v>84</v>
      </c>
      <c r="D836" s="57"/>
      <c r="E836" s="2">
        <v>8500</v>
      </c>
      <c r="F836" s="8">
        <f t="shared" si="29"/>
        <v>0</v>
      </c>
    </row>
    <row r="837" spans="2:6" x14ac:dyDescent="0.2">
      <c r="B837" s="35"/>
      <c r="C837" s="1" t="s">
        <v>73</v>
      </c>
      <c r="D837" s="57"/>
      <c r="E837" s="2">
        <v>8650</v>
      </c>
      <c r="F837" s="8">
        <f t="shared" si="29"/>
        <v>0</v>
      </c>
    </row>
    <row r="838" spans="2:6" x14ac:dyDescent="0.2">
      <c r="B838" s="35"/>
      <c r="C838" s="1" t="s">
        <v>76</v>
      </c>
      <c r="D838" s="57"/>
      <c r="E838" s="2">
        <v>9250</v>
      </c>
      <c r="F838" s="8">
        <f t="shared" si="29"/>
        <v>0</v>
      </c>
    </row>
    <row r="839" spans="2:6" x14ac:dyDescent="0.2">
      <c r="B839" s="35"/>
      <c r="C839" s="1" t="s">
        <v>74</v>
      </c>
      <c r="D839" s="57"/>
      <c r="E839" s="2">
        <v>3800</v>
      </c>
      <c r="F839" s="8">
        <f t="shared" si="29"/>
        <v>0</v>
      </c>
    </row>
    <row r="840" spans="2:6" x14ac:dyDescent="0.2">
      <c r="B840" s="19"/>
      <c r="C840" s="1" t="s">
        <v>85</v>
      </c>
      <c r="D840" s="57"/>
      <c r="E840" s="2">
        <v>3700</v>
      </c>
      <c r="F840" s="8">
        <f t="shared" si="29"/>
        <v>0</v>
      </c>
    </row>
    <row r="841" spans="2:6" x14ac:dyDescent="0.2">
      <c r="B841" s="35"/>
      <c r="C841" s="1" t="s">
        <v>99</v>
      </c>
      <c r="D841" s="57"/>
      <c r="E841" s="2">
        <v>216000</v>
      </c>
      <c r="F841" s="8">
        <f t="shared" si="29"/>
        <v>0</v>
      </c>
    </row>
    <row r="842" spans="2:6" x14ac:dyDescent="0.2">
      <c r="B842" s="35"/>
      <c r="C842" s="1" t="s">
        <v>108</v>
      </c>
      <c r="D842" s="71"/>
      <c r="E842" s="2">
        <v>9000</v>
      </c>
      <c r="F842" s="8">
        <f t="shared" si="29"/>
        <v>0</v>
      </c>
    </row>
    <row r="843" spans="2:6" x14ac:dyDescent="0.2">
      <c r="B843" s="35"/>
      <c r="C843" s="1" t="s">
        <v>104</v>
      </c>
      <c r="D843" s="57"/>
      <c r="E843" s="2"/>
      <c r="F843" s="8">
        <f t="shared" si="29"/>
        <v>0</v>
      </c>
    </row>
    <row r="844" spans="2:6" x14ac:dyDescent="0.2">
      <c r="B844" s="35"/>
      <c r="C844" s="1" t="s">
        <v>107</v>
      </c>
      <c r="D844" s="57"/>
      <c r="E844" s="2"/>
      <c r="F844" s="8">
        <f t="shared" si="29"/>
        <v>0</v>
      </c>
    </row>
    <row r="845" spans="2:6" x14ac:dyDescent="0.2">
      <c r="B845" s="35"/>
      <c r="C845" s="1"/>
      <c r="D845" s="57"/>
      <c r="E845" s="2"/>
      <c r="F845" s="8">
        <f t="shared" si="29"/>
        <v>0</v>
      </c>
    </row>
    <row r="846" spans="2:6" x14ac:dyDescent="0.2">
      <c r="B846" s="35"/>
      <c r="C846" s="1"/>
      <c r="D846" s="57"/>
      <c r="E846" s="2"/>
      <c r="F846" s="8">
        <f t="shared" si="29"/>
        <v>0</v>
      </c>
    </row>
    <row r="847" spans="2:6" x14ac:dyDescent="0.2">
      <c r="B847" s="35"/>
      <c r="C847" s="1"/>
      <c r="D847" s="57"/>
      <c r="E847" s="2"/>
      <c r="F847" s="8">
        <f t="shared" si="29"/>
        <v>0</v>
      </c>
    </row>
    <row r="848" spans="2:6" x14ac:dyDescent="0.2">
      <c r="B848" s="35"/>
      <c r="C848" s="1"/>
      <c r="D848" s="57"/>
      <c r="E848" s="2"/>
      <c r="F848" s="8">
        <f t="shared" si="29"/>
        <v>0</v>
      </c>
    </row>
    <row r="849" spans="1:6" x14ac:dyDescent="0.2">
      <c r="B849" s="9"/>
      <c r="C849" s="68"/>
      <c r="D849" s="57"/>
      <c r="E849" s="1"/>
      <c r="F849" s="8">
        <f t="shared" si="29"/>
        <v>0</v>
      </c>
    </row>
    <row r="850" spans="1:6" ht="15.75" thickBot="1" x14ac:dyDescent="0.25">
      <c r="B850" s="128" t="s">
        <v>12</v>
      </c>
      <c r="C850" s="129"/>
      <c r="D850" s="129"/>
      <c r="E850" s="130"/>
      <c r="F850" s="45">
        <f>SUM(F824:F849)</f>
        <v>0</v>
      </c>
    </row>
    <row r="851" spans="1:6" x14ac:dyDescent="0.2">
      <c r="B851" s="131" t="s">
        <v>8</v>
      </c>
      <c r="C851" s="132"/>
      <c r="D851" s="132"/>
      <c r="E851" s="133"/>
      <c r="F851" s="17">
        <v>0</v>
      </c>
    </row>
    <row r="852" spans="1:6" x14ac:dyDescent="0.2">
      <c r="B852" s="134" t="s">
        <v>9</v>
      </c>
      <c r="C852" s="135"/>
      <c r="D852" s="135"/>
      <c r="E852" s="92"/>
      <c r="F852" s="46">
        <f>F850+F851</f>
        <v>0</v>
      </c>
    </row>
    <row r="853" spans="1:6" x14ac:dyDescent="0.2">
      <c r="B853" s="134" t="s">
        <v>10</v>
      </c>
      <c r="C853" s="135"/>
      <c r="D853" s="135"/>
      <c r="E853" s="92"/>
      <c r="F853" s="8">
        <v>0</v>
      </c>
    </row>
    <row r="854" spans="1:6" ht="15.75" thickBot="1" x14ac:dyDescent="0.25">
      <c r="B854" s="98" t="s">
        <v>11</v>
      </c>
      <c r="C854" s="99"/>
      <c r="D854" s="99"/>
      <c r="E854" s="100"/>
      <c r="F854" s="47">
        <f>F853-F852</f>
        <v>0</v>
      </c>
    </row>
    <row r="855" spans="1:6" ht="15.75" thickBot="1" x14ac:dyDescent="0.25"/>
    <row r="856" spans="1:6" x14ac:dyDescent="0.2">
      <c r="B856" s="6" t="s">
        <v>2</v>
      </c>
      <c r="C856" s="138" t="str">
        <f>E2</f>
        <v>Oktober Rabu 21 2026</v>
      </c>
      <c r="D856" s="139"/>
      <c r="E856" s="139"/>
      <c r="F856" s="140"/>
    </row>
    <row r="857" spans="1:6" x14ac:dyDescent="0.2">
      <c r="A857" s="31" t="s">
        <v>46</v>
      </c>
      <c r="B857" s="7" t="s">
        <v>0</v>
      </c>
      <c r="C857" s="124" t="s">
        <v>115</v>
      </c>
      <c r="D857" s="124"/>
      <c r="E857" s="124"/>
      <c r="F857" s="125"/>
    </row>
    <row r="858" spans="1:6" x14ac:dyDescent="0.2">
      <c r="B858" s="7" t="s">
        <v>1</v>
      </c>
      <c r="C858" s="124" t="s">
        <v>61</v>
      </c>
      <c r="D858" s="124"/>
      <c r="E858" s="124"/>
      <c r="F858" s="125"/>
    </row>
    <row r="859" spans="1:6" ht="15.75" thickBot="1" x14ac:dyDescent="0.25">
      <c r="B859" s="7"/>
      <c r="C859" s="126"/>
      <c r="D859" s="126"/>
      <c r="E859" s="126"/>
      <c r="F859" s="127"/>
    </row>
    <row r="860" spans="1:6" x14ac:dyDescent="0.2">
      <c r="B860" s="3" t="s">
        <v>3</v>
      </c>
      <c r="C860" s="4" t="s">
        <v>4</v>
      </c>
      <c r="D860" s="4" t="s">
        <v>5</v>
      </c>
      <c r="E860" s="4" t="s">
        <v>7</v>
      </c>
      <c r="F860" s="5" t="s">
        <v>6</v>
      </c>
    </row>
    <row r="861" spans="1:6" x14ac:dyDescent="0.2">
      <c r="B861" s="19"/>
      <c r="C861" s="1" t="s">
        <v>80</v>
      </c>
      <c r="D861" s="57"/>
      <c r="E861" s="2">
        <v>3800</v>
      </c>
      <c r="F861" s="8">
        <f>(B861-D861) *E861</f>
        <v>0</v>
      </c>
    </row>
    <row r="862" spans="1:6" x14ac:dyDescent="0.2">
      <c r="B862" s="19"/>
      <c r="C862" s="1" t="s">
        <v>16</v>
      </c>
      <c r="D862" s="57"/>
      <c r="E862" s="2">
        <v>9300</v>
      </c>
      <c r="F862" s="8">
        <f>(B862-D862) *E862</f>
        <v>0</v>
      </c>
    </row>
    <row r="863" spans="1:6" x14ac:dyDescent="0.2">
      <c r="B863" s="19"/>
      <c r="C863" s="1" t="s">
        <v>78</v>
      </c>
      <c r="D863" s="57"/>
      <c r="E863" s="2">
        <v>4800</v>
      </c>
      <c r="F863" s="8">
        <f>(B863-D863) *E863</f>
        <v>0</v>
      </c>
    </row>
    <row r="864" spans="1:6" x14ac:dyDescent="0.2">
      <c r="B864" s="19"/>
      <c r="C864" s="1" t="s">
        <v>79</v>
      </c>
      <c r="D864" s="57"/>
      <c r="E864" s="2">
        <v>222000</v>
      </c>
      <c r="F864" s="8">
        <f>(B864-D864) *E864</f>
        <v>0</v>
      </c>
    </row>
    <row r="865" spans="2:6" x14ac:dyDescent="0.2">
      <c r="B865" s="19"/>
      <c r="C865" s="1" t="s">
        <v>17</v>
      </c>
      <c r="D865" s="57"/>
      <c r="E865" s="2">
        <v>17000</v>
      </c>
      <c r="F865" s="8">
        <f>(B865-D865) *E865</f>
        <v>0</v>
      </c>
    </row>
    <row r="866" spans="2:6" x14ac:dyDescent="0.2">
      <c r="B866" s="19"/>
      <c r="C866" s="1" t="s">
        <v>105</v>
      </c>
      <c r="D866" s="57"/>
      <c r="E866" s="2">
        <v>75000</v>
      </c>
      <c r="F866" s="8">
        <f t="shared" ref="F866:F886" si="30">(B866-D866) *E866</f>
        <v>0</v>
      </c>
    </row>
    <row r="867" spans="2:6" x14ac:dyDescent="0.2">
      <c r="B867" s="19"/>
      <c r="C867" s="1" t="s">
        <v>106</v>
      </c>
      <c r="D867" s="57"/>
      <c r="E867" s="2">
        <v>5000</v>
      </c>
      <c r="F867" s="8">
        <f t="shared" si="30"/>
        <v>0</v>
      </c>
    </row>
    <row r="868" spans="2:6" x14ac:dyDescent="0.2">
      <c r="B868" s="19"/>
      <c r="C868" s="1" t="s">
        <v>71</v>
      </c>
      <c r="D868" s="57"/>
      <c r="E868" s="2">
        <v>56000</v>
      </c>
      <c r="F868" s="8">
        <f t="shared" si="30"/>
        <v>0</v>
      </c>
    </row>
    <row r="869" spans="2:6" x14ac:dyDescent="0.2">
      <c r="B869" s="35"/>
      <c r="C869" s="1" t="s">
        <v>103</v>
      </c>
      <c r="D869" s="57"/>
      <c r="E869" s="2">
        <v>4500</v>
      </c>
      <c r="F869" s="8">
        <f t="shared" si="30"/>
        <v>0</v>
      </c>
    </row>
    <row r="870" spans="2:6" x14ac:dyDescent="0.2">
      <c r="B870" s="35"/>
      <c r="C870" s="1" t="s">
        <v>72</v>
      </c>
      <c r="D870" s="57"/>
      <c r="E870" s="2">
        <v>3800</v>
      </c>
      <c r="F870" s="8">
        <f t="shared" si="30"/>
        <v>0</v>
      </c>
    </row>
    <row r="871" spans="2:6" x14ac:dyDescent="0.2">
      <c r="B871" s="35"/>
      <c r="C871" s="1" t="s">
        <v>98</v>
      </c>
      <c r="D871" s="57"/>
      <c r="E871" s="2">
        <v>4700</v>
      </c>
      <c r="F871" s="8">
        <f t="shared" si="30"/>
        <v>0</v>
      </c>
    </row>
    <row r="872" spans="2:6" x14ac:dyDescent="0.2">
      <c r="B872" s="35"/>
      <c r="C872" s="1" t="s">
        <v>77</v>
      </c>
      <c r="D872" s="57"/>
      <c r="E872" s="2">
        <v>9250</v>
      </c>
      <c r="F872" s="8">
        <f t="shared" si="30"/>
        <v>0</v>
      </c>
    </row>
    <row r="873" spans="2:6" x14ac:dyDescent="0.2">
      <c r="B873" s="35"/>
      <c r="C873" s="1" t="s">
        <v>84</v>
      </c>
      <c r="D873" s="57"/>
      <c r="E873" s="2">
        <v>8500</v>
      </c>
      <c r="F873" s="8">
        <f t="shared" si="30"/>
        <v>0</v>
      </c>
    </row>
    <row r="874" spans="2:6" x14ac:dyDescent="0.2">
      <c r="B874" s="35"/>
      <c r="C874" s="1" t="s">
        <v>73</v>
      </c>
      <c r="D874" s="57"/>
      <c r="E874" s="2">
        <v>8650</v>
      </c>
      <c r="F874" s="8">
        <f t="shared" si="30"/>
        <v>0</v>
      </c>
    </row>
    <row r="875" spans="2:6" x14ac:dyDescent="0.2">
      <c r="B875" s="35"/>
      <c r="C875" s="1" t="s">
        <v>76</v>
      </c>
      <c r="D875" s="57"/>
      <c r="E875" s="2">
        <v>9250</v>
      </c>
      <c r="F875" s="8">
        <f t="shared" si="30"/>
        <v>0</v>
      </c>
    </row>
    <row r="876" spans="2:6" x14ac:dyDescent="0.2">
      <c r="B876" s="35"/>
      <c r="C876" s="1" t="s">
        <v>74</v>
      </c>
      <c r="D876" s="57"/>
      <c r="E876" s="2">
        <v>3800</v>
      </c>
      <c r="F876" s="8">
        <f t="shared" si="30"/>
        <v>0</v>
      </c>
    </row>
    <row r="877" spans="2:6" x14ac:dyDescent="0.2">
      <c r="B877" s="19"/>
      <c r="C877" s="1" t="s">
        <v>85</v>
      </c>
      <c r="D877" s="57"/>
      <c r="E877" s="2">
        <v>3700</v>
      </c>
      <c r="F877" s="8">
        <f t="shared" si="30"/>
        <v>0</v>
      </c>
    </row>
    <row r="878" spans="2:6" x14ac:dyDescent="0.2">
      <c r="B878" s="35"/>
      <c r="C878" s="1" t="s">
        <v>99</v>
      </c>
      <c r="D878" s="57"/>
      <c r="E878" s="2">
        <v>216000</v>
      </c>
      <c r="F878" s="8">
        <f t="shared" si="30"/>
        <v>0</v>
      </c>
    </row>
    <row r="879" spans="2:6" x14ac:dyDescent="0.2">
      <c r="B879" s="35"/>
      <c r="C879" s="1" t="s">
        <v>108</v>
      </c>
      <c r="D879" s="71"/>
      <c r="E879" s="2">
        <v>9000</v>
      </c>
      <c r="F879" s="8">
        <f t="shared" si="30"/>
        <v>0</v>
      </c>
    </row>
    <row r="880" spans="2:6" x14ac:dyDescent="0.2">
      <c r="B880" s="35"/>
      <c r="C880" s="1" t="s">
        <v>104</v>
      </c>
      <c r="D880" s="57"/>
      <c r="E880" s="2"/>
      <c r="F880" s="8">
        <f t="shared" si="30"/>
        <v>0</v>
      </c>
    </row>
    <row r="881" spans="1:6" x14ac:dyDescent="0.2">
      <c r="B881" s="35"/>
      <c r="C881" s="1" t="s">
        <v>107</v>
      </c>
      <c r="D881" s="57"/>
      <c r="E881" s="2"/>
      <c r="F881" s="8">
        <f t="shared" si="30"/>
        <v>0</v>
      </c>
    </row>
    <row r="882" spans="1:6" x14ac:dyDescent="0.2">
      <c r="B882" s="35"/>
      <c r="C882" s="1"/>
      <c r="D882" s="57"/>
      <c r="E882" s="2"/>
      <c r="F882" s="8">
        <f t="shared" si="30"/>
        <v>0</v>
      </c>
    </row>
    <row r="883" spans="1:6" x14ac:dyDescent="0.2">
      <c r="B883" s="35"/>
      <c r="C883" s="1"/>
      <c r="D883" s="57"/>
      <c r="E883" s="2"/>
      <c r="F883" s="8">
        <f t="shared" si="30"/>
        <v>0</v>
      </c>
    </row>
    <row r="884" spans="1:6" x14ac:dyDescent="0.2">
      <c r="B884" s="35"/>
      <c r="C884" s="1"/>
      <c r="D884" s="57"/>
      <c r="E884" s="2"/>
      <c r="F884" s="8">
        <f t="shared" si="30"/>
        <v>0</v>
      </c>
    </row>
    <row r="885" spans="1:6" x14ac:dyDescent="0.2">
      <c r="B885" s="35"/>
      <c r="C885" s="1"/>
      <c r="D885" s="57"/>
      <c r="E885" s="2"/>
      <c r="F885" s="8">
        <f t="shared" si="30"/>
        <v>0</v>
      </c>
    </row>
    <row r="886" spans="1:6" x14ac:dyDescent="0.2">
      <c r="B886" s="9"/>
      <c r="C886" s="68"/>
      <c r="D886" s="57"/>
      <c r="E886" s="1"/>
      <c r="F886" s="8">
        <f t="shared" si="30"/>
        <v>0</v>
      </c>
    </row>
    <row r="887" spans="1:6" ht="15.75" thickBot="1" x14ac:dyDescent="0.25">
      <c r="B887" s="128" t="s">
        <v>12</v>
      </c>
      <c r="C887" s="129"/>
      <c r="D887" s="129"/>
      <c r="E887" s="130"/>
      <c r="F887" s="45">
        <f>SUM(F861:F886)</f>
        <v>0</v>
      </c>
    </row>
    <row r="888" spans="1:6" x14ac:dyDescent="0.2">
      <c r="B888" s="131" t="s">
        <v>8</v>
      </c>
      <c r="C888" s="132"/>
      <c r="D888" s="132"/>
      <c r="E888" s="133"/>
      <c r="F888" s="17">
        <v>0</v>
      </c>
    </row>
    <row r="889" spans="1:6" x14ac:dyDescent="0.2">
      <c r="B889" s="134" t="s">
        <v>9</v>
      </c>
      <c r="C889" s="135"/>
      <c r="D889" s="135"/>
      <c r="E889" s="92"/>
      <c r="F889" s="46">
        <f>F887+F888</f>
        <v>0</v>
      </c>
    </row>
    <row r="890" spans="1:6" x14ac:dyDescent="0.2">
      <c r="B890" s="134" t="s">
        <v>10</v>
      </c>
      <c r="C890" s="135"/>
      <c r="D890" s="135"/>
      <c r="E890" s="92"/>
      <c r="F890" s="8">
        <v>0</v>
      </c>
    </row>
    <row r="891" spans="1:6" ht="15.75" thickBot="1" x14ac:dyDescent="0.25">
      <c r="B891" s="98" t="s">
        <v>11</v>
      </c>
      <c r="C891" s="99"/>
      <c r="D891" s="99"/>
      <c r="E891" s="100"/>
      <c r="F891" s="47">
        <f>F890-F889</f>
        <v>0</v>
      </c>
    </row>
    <row r="892" spans="1:6" ht="15.75" thickBot="1" x14ac:dyDescent="0.25"/>
    <row r="893" spans="1:6" x14ac:dyDescent="0.2">
      <c r="B893" s="6" t="s">
        <v>2</v>
      </c>
      <c r="C893" s="138" t="str">
        <f>E2</f>
        <v>Oktober Rabu 21 2026</v>
      </c>
      <c r="D893" s="139"/>
      <c r="E893" s="139"/>
      <c r="F893" s="140"/>
    </row>
    <row r="894" spans="1:6" x14ac:dyDescent="0.2">
      <c r="A894" s="31" t="s">
        <v>47</v>
      </c>
      <c r="B894" s="7" t="s">
        <v>0</v>
      </c>
      <c r="C894" s="141" t="s">
        <v>121</v>
      </c>
      <c r="D894" s="141"/>
      <c r="E894" s="141"/>
      <c r="F894" s="142"/>
    </row>
    <row r="895" spans="1:6" x14ac:dyDescent="0.2">
      <c r="B895" s="7" t="s">
        <v>1</v>
      </c>
      <c r="C895" s="124" t="s">
        <v>62</v>
      </c>
      <c r="D895" s="124"/>
      <c r="E895" s="124"/>
      <c r="F895" s="125"/>
    </row>
    <row r="896" spans="1:6" ht="15.75" thickBot="1" x14ac:dyDescent="0.25">
      <c r="B896" s="7"/>
      <c r="C896" s="126"/>
      <c r="D896" s="126"/>
      <c r="E896" s="126"/>
      <c r="F896" s="127"/>
    </row>
    <row r="897" spans="2:6" x14ac:dyDescent="0.2">
      <c r="B897" s="3" t="s">
        <v>3</v>
      </c>
      <c r="C897" s="4" t="s">
        <v>4</v>
      </c>
      <c r="D897" s="4" t="s">
        <v>5</v>
      </c>
      <c r="E897" s="4" t="s">
        <v>7</v>
      </c>
      <c r="F897" s="5" t="s">
        <v>6</v>
      </c>
    </row>
    <row r="898" spans="2:6" x14ac:dyDescent="0.2">
      <c r="B898" s="19"/>
      <c r="C898" s="1" t="s">
        <v>80</v>
      </c>
      <c r="D898" s="57"/>
      <c r="E898" s="2">
        <v>3800</v>
      </c>
      <c r="F898" s="8">
        <f>(B898-D898) *E898</f>
        <v>0</v>
      </c>
    </row>
    <row r="899" spans="2:6" x14ac:dyDescent="0.2">
      <c r="B899" s="19"/>
      <c r="C899" s="1" t="s">
        <v>16</v>
      </c>
      <c r="D899" s="57"/>
      <c r="E899" s="2">
        <v>9300</v>
      </c>
      <c r="F899" s="8">
        <f>(B899-D899) *E899</f>
        <v>0</v>
      </c>
    </row>
    <row r="900" spans="2:6" x14ac:dyDescent="0.2">
      <c r="B900" s="19"/>
      <c r="C900" s="1" t="s">
        <v>78</v>
      </c>
      <c r="D900" s="57"/>
      <c r="E900" s="2">
        <v>4800</v>
      </c>
      <c r="F900" s="8">
        <f>(B900-D900) *E900</f>
        <v>0</v>
      </c>
    </row>
    <row r="901" spans="2:6" x14ac:dyDescent="0.2">
      <c r="B901" s="19"/>
      <c r="C901" s="1" t="s">
        <v>79</v>
      </c>
      <c r="D901" s="57"/>
      <c r="E901" s="2">
        <v>222000</v>
      </c>
      <c r="F901" s="8">
        <f>(B901-D901) *E901</f>
        <v>0</v>
      </c>
    </row>
    <row r="902" spans="2:6" x14ac:dyDescent="0.2">
      <c r="B902" s="19"/>
      <c r="C902" s="1" t="s">
        <v>17</v>
      </c>
      <c r="D902" s="57"/>
      <c r="E902" s="2">
        <v>17000</v>
      </c>
      <c r="F902" s="8">
        <f>(B902-D902) *E902</f>
        <v>0</v>
      </c>
    </row>
    <row r="903" spans="2:6" x14ac:dyDescent="0.2">
      <c r="B903" s="19"/>
      <c r="C903" s="1" t="s">
        <v>105</v>
      </c>
      <c r="D903" s="57"/>
      <c r="E903" s="2">
        <v>75000</v>
      </c>
      <c r="F903" s="8">
        <f t="shared" ref="F903:F923" si="31">(B903-D903) *E903</f>
        <v>0</v>
      </c>
    </row>
    <row r="904" spans="2:6" x14ac:dyDescent="0.2">
      <c r="B904" s="19"/>
      <c r="C904" s="1" t="s">
        <v>106</v>
      </c>
      <c r="D904" s="57"/>
      <c r="E904" s="2">
        <v>5000</v>
      </c>
      <c r="F904" s="8">
        <f t="shared" si="31"/>
        <v>0</v>
      </c>
    </row>
    <row r="905" spans="2:6" x14ac:dyDescent="0.2">
      <c r="B905" s="19"/>
      <c r="C905" s="1" t="s">
        <v>71</v>
      </c>
      <c r="D905" s="57"/>
      <c r="E905" s="2">
        <v>56000</v>
      </c>
      <c r="F905" s="8">
        <f t="shared" si="31"/>
        <v>0</v>
      </c>
    </row>
    <row r="906" spans="2:6" x14ac:dyDescent="0.2">
      <c r="B906" s="35"/>
      <c r="C906" s="1" t="s">
        <v>103</v>
      </c>
      <c r="D906" s="57"/>
      <c r="E906" s="2">
        <v>4500</v>
      </c>
      <c r="F906" s="8">
        <f t="shared" si="31"/>
        <v>0</v>
      </c>
    </row>
    <row r="907" spans="2:6" x14ac:dyDescent="0.2">
      <c r="B907" s="35"/>
      <c r="C907" s="1" t="s">
        <v>72</v>
      </c>
      <c r="D907" s="57"/>
      <c r="E907" s="2">
        <v>3800</v>
      </c>
      <c r="F907" s="8">
        <f t="shared" si="31"/>
        <v>0</v>
      </c>
    </row>
    <row r="908" spans="2:6" x14ac:dyDescent="0.2">
      <c r="B908" s="35"/>
      <c r="C908" s="1" t="s">
        <v>98</v>
      </c>
      <c r="D908" s="57"/>
      <c r="E908" s="2">
        <v>4700</v>
      </c>
      <c r="F908" s="8">
        <f t="shared" si="31"/>
        <v>0</v>
      </c>
    </row>
    <row r="909" spans="2:6" x14ac:dyDescent="0.2">
      <c r="B909" s="35"/>
      <c r="C909" s="1" t="s">
        <v>77</v>
      </c>
      <c r="D909" s="57"/>
      <c r="E909" s="2">
        <v>9250</v>
      </c>
      <c r="F909" s="8">
        <f t="shared" si="31"/>
        <v>0</v>
      </c>
    </row>
    <row r="910" spans="2:6" x14ac:dyDescent="0.2">
      <c r="B910" s="35"/>
      <c r="C910" s="1" t="s">
        <v>84</v>
      </c>
      <c r="D910" s="57"/>
      <c r="E910" s="2">
        <v>8500</v>
      </c>
      <c r="F910" s="8">
        <f t="shared" si="31"/>
        <v>0</v>
      </c>
    </row>
    <row r="911" spans="2:6" x14ac:dyDescent="0.2">
      <c r="B911" s="35"/>
      <c r="C911" s="1" t="s">
        <v>73</v>
      </c>
      <c r="D911" s="57"/>
      <c r="E911" s="2">
        <v>8650</v>
      </c>
      <c r="F911" s="8">
        <f t="shared" si="31"/>
        <v>0</v>
      </c>
    </row>
    <row r="912" spans="2:6" x14ac:dyDescent="0.2">
      <c r="B912" s="35"/>
      <c r="C912" s="1" t="s">
        <v>76</v>
      </c>
      <c r="D912" s="57"/>
      <c r="E912" s="2">
        <v>9250</v>
      </c>
      <c r="F912" s="8">
        <f t="shared" si="31"/>
        <v>0</v>
      </c>
    </row>
    <row r="913" spans="2:6" x14ac:dyDescent="0.2">
      <c r="B913" s="35"/>
      <c r="C913" s="1" t="s">
        <v>74</v>
      </c>
      <c r="D913" s="57"/>
      <c r="E913" s="2">
        <v>3800</v>
      </c>
      <c r="F913" s="8">
        <f t="shared" si="31"/>
        <v>0</v>
      </c>
    </row>
    <row r="914" spans="2:6" x14ac:dyDescent="0.2">
      <c r="B914" s="19"/>
      <c r="C914" s="1" t="s">
        <v>85</v>
      </c>
      <c r="D914" s="57"/>
      <c r="E914" s="2">
        <v>3700</v>
      </c>
      <c r="F914" s="8">
        <f t="shared" si="31"/>
        <v>0</v>
      </c>
    </row>
    <row r="915" spans="2:6" x14ac:dyDescent="0.2">
      <c r="B915" s="35"/>
      <c r="C915" s="1" t="s">
        <v>99</v>
      </c>
      <c r="D915" s="57"/>
      <c r="E915" s="2">
        <v>216000</v>
      </c>
      <c r="F915" s="8">
        <f t="shared" si="31"/>
        <v>0</v>
      </c>
    </row>
    <row r="916" spans="2:6" x14ac:dyDescent="0.2">
      <c r="B916" s="35"/>
      <c r="C916" s="1" t="s">
        <v>108</v>
      </c>
      <c r="D916" s="71"/>
      <c r="E916" s="2">
        <v>9000</v>
      </c>
      <c r="F916" s="8">
        <f t="shared" si="31"/>
        <v>0</v>
      </c>
    </row>
    <row r="917" spans="2:6" x14ac:dyDescent="0.2">
      <c r="B917" s="35"/>
      <c r="C917" s="1" t="s">
        <v>104</v>
      </c>
      <c r="D917" s="57"/>
      <c r="E917" s="2"/>
      <c r="F917" s="8">
        <f t="shared" si="31"/>
        <v>0</v>
      </c>
    </row>
    <row r="918" spans="2:6" x14ac:dyDescent="0.2">
      <c r="B918" s="35"/>
      <c r="C918" s="1" t="s">
        <v>107</v>
      </c>
      <c r="D918" s="57"/>
      <c r="E918" s="2"/>
      <c r="F918" s="8">
        <f t="shared" si="31"/>
        <v>0</v>
      </c>
    </row>
    <row r="919" spans="2:6" x14ac:dyDescent="0.2">
      <c r="B919" s="35"/>
      <c r="C919" s="1"/>
      <c r="D919" s="57"/>
      <c r="E919" s="2"/>
      <c r="F919" s="8">
        <f t="shared" si="31"/>
        <v>0</v>
      </c>
    </row>
    <row r="920" spans="2:6" x14ac:dyDescent="0.2">
      <c r="B920" s="35"/>
      <c r="C920" s="1"/>
      <c r="D920" s="57"/>
      <c r="E920" s="2"/>
      <c r="F920" s="8">
        <f t="shared" si="31"/>
        <v>0</v>
      </c>
    </row>
    <row r="921" spans="2:6" x14ac:dyDescent="0.2">
      <c r="B921" s="35"/>
      <c r="C921" s="1"/>
      <c r="D921" s="57"/>
      <c r="E921" s="2"/>
      <c r="F921" s="8">
        <f t="shared" si="31"/>
        <v>0</v>
      </c>
    </row>
    <row r="922" spans="2:6" x14ac:dyDescent="0.2">
      <c r="B922" s="35"/>
      <c r="C922" s="1"/>
      <c r="D922" s="57"/>
      <c r="E922" s="2"/>
      <c r="F922" s="8">
        <f t="shared" si="31"/>
        <v>0</v>
      </c>
    </row>
    <row r="923" spans="2:6" x14ac:dyDescent="0.2">
      <c r="B923" s="9"/>
      <c r="C923" s="68"/>
      <c r="D923" s="57"/>
      <c r="E923" s="1"/>
      <c r="F923" s="8">
        <f t="shared" si="31"/>
        <v>0</v>
      </c>
    </row>
    <row r="924" spans="2:6" ht="15.75" thickBot="1" x14ac:dyDescent="0.25">
      <c r="B924" s="128" t="s">
        <v>12</v>
      </c>
      <c r="C924" s="129"/>
      <c r="D924" s="129"/>
      <c r="E924" s="130"/>
      <c r="F924" s="45">
        <f>SUM(F898:F923)</f>
        <v>0</v>
      </c>
    </row>
    <row r="925" spans="2:6" x14ac:dyDescent="0.2">
      <c r="B925" s="131" t="s">
        <v>8</v>
      </c>
      <c r="C925" s="132"/>
      <c r="D925" s="132"/>
      <c r="E925" s="133"/>
      <c r="F925" s="17">
        <v>224000</v>
      </c>
    </row>
    <row r="926" spans="2:6" x14ac:dyDescent="0.2">
      <c r="B926" s="134" t="s">
        <v>9</v>
      </c>
      <c r="C926" s="135"/>
      <c r="D926" s="135"/>
      <c r="E926" s="92"/>
      <c r="F926" s="46">
        <f>F924+F925</f>
        <v>224000</v>
      </c>
    </row>
    <row r="927" spans="2:6" x14ac:dyDescent="0.2">
      <c r="B927" s="134" t="s">
        <v>10</v>
      </c>
      <c r="C927" s="135"/>
      <c r="D927" s="135"/>
      <c r="E927" s="92"/>
      <c r="F927" s="8">
        <v>0</v>
      </c>
    </row>
    <row r="928" spans="2:6" ht="15.75" thickBot="1" x14ac:dyDescent="0.25">
      <c r="B928" s="98" t="s">
        <v>11</v>
      </c>
      <c r="C928" s="99"/>
      <c r="D928" s="99"/>
      <c r="E928" s="100"/>
      <c r="F928" s="47">
        <f>F927-F926</f>
        <v>-224000</v>
      </c>
    </row>
  </sheetData>
  <autoFilter ref="B823:F854" xr:uid="{29770C29-0848-F341-8E09-893BDCA8CC2B}"/>
  <mergeCells count="301">
    <mergeCell ref="O34:R34"/>
    <mergeCell ref="Q36:T36"/>
    <mergeCell ref="P39:S39"/>
    <mergeCell ref="B888:E888"/>
    <mergeCell ref="B889:E889"/>
    <mergeCell ref="B890:E890"/>
    <mergeCell ref="B891:E891"/>
    <mergeCell ref="B928:E928"/>
    <mergeCell ref="C896:F896"/>
    <mergeCell ref="B924:E924"/>
    <mergeCell ref="B925:E925"/>
    <mergeCell ref="B926:E926"/>
    <mergeCell ref="B927:E927"/>
    <mergeCell ref="C745:F745"/>
    <mergeCell ref="C746:F746"/>
    <mergeCell ref="C747:F747"/>
    <mergeCell ref="C637:F637"/>
    <mergeCell ref="B665:E665"/>
    <mergeCell ref="B666:E666"/>
    <mergeCell ref="B667:E667"/>
    <mergeCell ref="B668:E668"/>
    <mergeCell ref="B669:E669"/>
    <mergeCell ref="C671:F671"/>
    <mergeCell ref="C672:F672"/>
    <mergeCell ref="B743:E743"/>
    <mergeCell ref="C710:F710"/>
    <mergeCell ref="C711:F711"/>
    <mergeCell ref="B739:E739"/>
    <mergeCell ref="B740:E740"/>
    <mergeCell ref="B741:E741"/>
    <mergeCell ref="B742:E742"/>
    <mergeCell ref="B703:E703"/>
    <mergeCell ref="B704:E704"/>
    <mergeCell ref="B705:E705"/>
    <mergeCell ref="B706:E706"/>
    <mergeCell ref="C708:F708"/>
    <mergeCell ref="C709:F709"/>
    <mergeCell ref="C856:F856"/>
    <mergeCell ref="C857:F857"/>
    <mergeCell ref="C858:F858"/>
    <mergeCell ref="C859:F859"/>
    <mergeCell ref="B887:E887"/>
    <mergeCell ref="H38:J38"/>
    <mergeCell ref="C893:F893"/>
    <mergeCell ref="C894:F894"/>
    <mergeCell ref="C895:F895"/>
    <mergeCell ref="B629:E629"/>
    <mergeCell ref="B630:E630"/>
    <mergeCell ref="B631:E631"/>
    <mergeCell ref="B632:E632"/>
    <mergeCell ref="C634:F634"/>
    <mergeCell ref="C635:F635"/>
    <mergeCell ref="B595:E595"/>
    <mergeCell ref="C597:F597"/>
    <mergeCell ref="C598:F598"/>
    <mergeCell ref="C599:F599"/>
    <mergeCell ref="C600:F600"/>
    <mergeCell ref="B628:E628"/>
    <mergeCell ref="C673:F673"/>
    <mergeCell ref="C674:F674"/>
    <mergeCell ref="B702:E702"/>
    <mergeCell ref="C748:F748"/>
    <mergeCell ref="B776:E776"/>
    <mergeCell ref="B777:E777"/>
    <mergeCell ref="B778:E778"/>
    <mergeCell ref="B779:E779"/>
    <mergeCell ref="B780:E780"/>
    <mergeCell ref="C822:F822"/>
    <mergeCell ref="B850:E850"/>
    <mergeCell ref="B851:E851"/>
    <mergeCell ref="B852:E852"/>
    <mergeCell ref="B853:E853"/>
    <mergeCell ref="B854:E854"/>
    <mergeCell ref="C782:F782"/>
    <mergeCell ref="C783:F783"/>
    <mergeCell ref="C785:F785"/>
    <mergeCell ref="B813:E813"/>
    <mergeCell ref="B814:E814"/>
    <mergeCell ref="B815:E815"/>
    <mergeCell ref="B816:E816"/>
    <mergeCell ref="B817:E817"/>
    <mergeCell ref="C819:F819"/>
    <mergeCell ref="C820:F820"/>
    <mergeCell ref="C821:F821"/>
    <mergeCell ref="B592:E592"/>
    <mergeCell ref="H2:M2"/>
    <mergeCell ref="H32:J32"/>
    <mergeCell ref="K32:M32"/>
    <mergeCell ref="K31:M31"/>
    <mergeCell ref="H31:J31"/>
    <mergeCell ref="I39:J39"/>
    <mergeCell ref="K39:M39"/>
    <mergeCell ref="K38:M38"/>
    <mergeCell ref="K36:M36"/>
    <mergeCell ref="K35:M35"/>
    <mergeCell ref="K34:M34"/>
    <mergeCell ref="K33:M33"/>
    <mergeCell ref="H36:J36"/>
    <mergeCell ref="H35:J35"/>
    <mergeCell ref="H34:J34"/>
    <mergeCell ref="H33:J33"/>
    <mergeCell ref="B481:E481"/>
    <mergeCell ref="B482:E482"/>
    <mergeCell ref="B483:E483"/>
    <mergeCell ref="B484:E484"/>
    <mergeCell ref="C486:F486"/>
    <mergeCell ref="C487:F487"/>
    <mergeCell ref="B447:E447"/>
    <mergeCell ref="C636:F636"/>
    <mergeCell ref="C525:F525"/>
    <mergeCell ref="C526:F526"/>
    <mergeCell ref="B554:E554"/>
    <mergeCell ref="C488:F488"/>
    <mergeCell ref="C489:F489"/>
    <mergeCell ref="B517:E517"/>
    <mergeCell ref="B518:E518"/>
    <mergeCell ref="B519:E519"/>
    <mergeCell ref="B520:E520"/>
    <mergeCell ref="B521:E521"/>
    <mergeCell ref="C523:F523"/>
    <mergeCell ref="C524:F524"/>
    <mergeCell ref="B593:E593"/>
    <mergeCell ref="B594:E594"/>
    <mergeCell ref="B555:E555"/>
    <mergeCell ref="B556:E556"/>
    <mergeCell ref="B557:E557"/>
    <mergeCell ref="B558:E558"/>
    <mergeCell ref="C560:F560"/>
    <mergeCell ref="C561:F561"/>
    <mergeCell ref="C562:F562"/>
    <mergeCell ref="C563:F563"/>
    <mergeCell ref="B591:E591"/>
    <mergeCell ref="C449:F449"/>
    <mergeCell ref="C450:F450"/>
    <mergeCell ref="C451:F451"/>
    <mergeCell ref="C452:F452"/>
    <mergeCell ref="B480:E480"/>
    <mergeCell ref="C414:F414"/>
    <mergeCell ref="C415:F415"/>
    <mergeCell ref="B443:E443"/>
    <mergeCell ref="B444:E444"/>
    <mergeCell ref="B445:E445"/>
    <mergeCell ref="B446:E446"/>
    <mergeCell ref="B407:E407"/>
    <mergeCell ref="B408:E408"/>
    <mergeCell ref="B409:E409"/>
    <mergeCell ref="B410:E410"/>
    <mergeCell ref="C412:F412"/>
    <mergeCell ref="C413:F413"/>
    <mergeCell ref="B373:E373"/>
    <mergeCell ref="C375:F375"/>
    <mergeCell ref="C376:F376"/>
    <mergeCell ref="C377:F377"/>
    <mergeCell ref="C378:F378"/>
    <mergeCell ref="B406:E406"/>
    <mergeCell ref="C340:F340"/>
    <mergeCell ref="C341:F341"/>
    <mergeCell ref="B369:E369"/>
    <mergeCell ref="B370:E370"/>
    <mergeCell ref="B371:E371"/>
    <mergeCell ref="B372:E372"/>
    <mergeCell ref="B333:E333"/>
    <mergeCell ref="B334:E334"/>
    <mergeCell ref="B335:E335"/>
    <mergeCell ref="B336:E336"/>
    <mergeCell ref="C338:F338"/>
    <mergeCell ref="C339:F339"/>
    <mergeCell ref="B299:E299"/>
    <mergeCell ref="C301:F301"/>
    <mergeCell ref="C302:F302"/>
    <mergeCell ref="C303:F303"/>
    <mergeCell ref="C304:F304"/>
    <mergeCell ref="B332:E332"/>
    <mergeCell ref="C266:F266"/>
    <mergeCell ref="C267:F267"/>
    <mergeCell ref="B295:E295"/>
    <mergeCell ref="B296:E296"/>
    <mergeCell ref="B297:E297"/>
    <mergeCell ref="B298:E298"/>
    <mergeCell ref="B259:E259"/>
    <mergeCell ref="B260:E260"/>
    <mergeCell ref="B261:E261"/>
    <mergeCell ref="B262:E262"/>
    <mergeCell ref="C264:F264"/>
    <mergeCell ref="C265:F265"/>
    <mergeCell ref="B225:E225"/>
    <mergeCell ref="C227:F227"/>
    <mergeCell ref="C228:F228"/>
    <mergeCell ref="C229:F229"/>
    <mergeCell ref="C230:F230"/>
    <mergeCell ref="B258:E258"/>
    <mergeCell ref="C192:F192"/>
    <mergeCell ref="C193:F193"/>
    <mergeCell ref="B221:E221"/>
    <mergeCell ref="B222:E222"/>
    <mergeCell ref="B223:E223"/>
    <mergeCell ref="B224:E224"/>
    <mergeCell ref="B185:E185"/>
    <mergeCell ref="B186:E186"/>
    <mergeCell ref="B187:E187"/>
    <mergeCell ref="B188:E188"/>
    <mergeCell ref="C190:F190"/>
    <mergeCell ref="C191:F191"/>
    <mergeCell ref="B151:E151"/>
    <mergeCell ref="C153:F153"/>
    <mergeCell ref="C154:F154"/>
    <mergeCell ref="C155:F155"/>
    <mergeCell ref="C156:F156"/>
    <mergeCell ref="B184:E184"/>
    <mergeCell ref="C118:F118"/>
    <mergeCell ref="C119:F119"/>
    <mergeCell ref="B147:E147"/>
    <mergeCell ref="B148:E148"/>
    <mergeCell ref="B149:E149"/>
    <mergeCell ref="B150:E150"/>
    <mergeCell ref="B111:E111"/>
    <mergeCell ref="B112:E112"/>
    <mergeCell ref="B113:E113"/>
    <mergeCell ref="B114:E114"/>
    <mergeCell ref="C116:F116"/>
    <mergeCell ref="C117:F117"/>
    <mergeCell ref="B77:E77"/>
    <mergeCell ref="C79:F79"/>
    <mergeCell ref="C80:F80"/>
    <mergeCell ref="C81:F81"/>
    <mergeCell ref="C82:F82"/>
    <mergeCell ref="B110:E110"/>
    <mergeCell ref="C44:F44"/>
    <mergeCell ref="C45:F45"/>
    <mergeCell ref="B73:E73"/>
    <mergeCell ref="B74:E74"/>
    <mergeCell ref="B75:E75"/>
    <mergeCell ref="B76:E76"/>
    <mergeCell ref="E2:F2"/>
    <mergeCell ref="B36:E36"/>
    <mergeCell ref="B37:E37"/>
    <mergeCell ref="B38:E38"/>
    <mergeCell ref="B40:E40"/>
    <mergeCell ref="C42:F42"/>
    <mergeCell ref="C43:F43"/>
    <mergeCell ref="B35:E35"/>
    <mergeCell ref="C4:F4"/>
    <mergeCell ref="C5:F5"/>
    <mergeCell ref="C6:F6"/>
    <mergeCell ref="C7:F7"/>
    <mergeCell ref="B2:D2"/>
    <mergeCell ref="B39:E39"/>
    <mergeCell ref="K65:M65"/>
    <mergeCell ref="I65:J65"/>
    <mergeCell ref="I60:J60"/>
    <mergeCell ref="I61:J61"/>
    <mergeCell ref="I62:J62"/>
    <mergeCell ref="K61:M61"/>
    <mergeCell ref="K62:M62"/>
    <mergeCell ref="K63:M63"/>
    <mergeCell ref="K60:M60"/>
    <mergeCell ref="I63:J63"/>
    <mergeCell ref="K64:M64"/>
    <mergeCell ref="I64:J64"/>
    <mergeCell ref="I57:J57"/>
    <mergeCell ref="I58:J58"/>
    <mergeCell ref="I59:J59"/>
    <mergeCell ref="K40:M40"/>
    <mergeCell ref="K41:M41"/>
    <mergeCell ref="K42:M42"/>
    <mergeCell ref="K43:M43"/>
    <mergeCell ref="K44:M44"/>
    <mergeCell ref="K45:M45"/>
    <mergeCell ref="K46:M46"/>
    <mergeCell ref="K47:M47"/>
    <mergeCell ref="K57:M57"/>
    <mergeCell ref="K58:M58"/>
    <mergeCell ref="K59:M59"/>
    <mergeCell ref="I47:J47"/>
    <mergeCell ref="I46:J46"/>
    <mergeCell ref="I48:J48"/>
    <mergeCell ref="I49:J49"/>
    <mergeCell ref="I51:J51"/>
    <mergeCell ref="I50:J50"/>
    <mergeCell ref="I52:J52"/>
    <mergeCell ref="I53:J53"/>
    <mergeCell ref="I54:J54"/>
    <mergeCell ref="I56:J56"/>
    <mergeCell ref="I41:J41"/>
    <mergeCell ref="I40:J40"/>
    <mergeCell ref="K37:M37"/>
    <mergeCell ref="H37:J37"/>
    <mergeCell ref="K56:M56"/>
    <mergeCell ref="I55:J55"/>
    <mergeCell ref="K48:M48"/>
    <mergeCell ref="K49:M49"/>
    <mergeCell ref="K50:M50"/>
    <mergeCell ref="K51:M51"/>
    <mergeCell ref="K52:M52"/>
    <mergeCell ref="K53:M53"/>
    <mergeCell ref="K54:M54"/>
    <mergeCell ref="K55:M55"/>
    <mergeCell ref="I42:J42"/>
    <mergeCell ref="I43:J43"/>
    <mergeCell ref="I44:J44"/>
    <mergeCell ref="I45:J45"/>
  </mergeCells>
  <phoneticPr fontId="3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4B67-296A-F34A-B752-36182D592D9B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Lembar1</vt:lpstr>
      <vt:lpstr>Lembar2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mohmaftukhin989@gmail.com</dc:creator>
  <dcterms:created xsi:type="dcterms:W3CDTF">2023-11-20T18:25:06Z</dcterms:created>
</cp:coreProperties>
</file>