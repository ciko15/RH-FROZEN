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 defaultThemeVersion="202300"/>
  <xr:revisionPtr revIDLastSave="0" documentId="8_{AD2FCBEF-B7E1-F84F-A901-C516B983399A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Orderan sales" sheetId="6" r:id="rId1"/>
    <sheet name="Stok" sheetId="5" r:id="rId2"/>
    <sheet name="Belanja Barang" sheetId="3" r:id="rId3"/>
    <sheet name="Pengiriman" sheetId="7" r:id="rId4"/>
    <sheet name="Rekap Harian" sheetId="1" r:id="rId5"/>
    <sheet name="Oprasional" sheetId="2" r:id="rId6"/>
    <sheet name="Pemasukan" sheetId="4" r:id="rId7"/>
    <sheet name="Laporan Penjualan sales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3" i="1"/>
  <c r="AG12" i="2"/>
  <c r="AC12" i="2"/>
  <c r="Y12" i="2"/>
  <c r="U12" i="2"/>
  <c r="Q12" i="2"/>
  <c r="M12" i="2"/>
  <c r="I12" i="2"/>
  <c r="E12" i="2"/>
  <c r="G3" i="3"/>
  <c r="G9" i="3"/>
  <c r="G66" i="3"/>
  <c r="G67" i="3"/>
  <c r="G68" i="3"/>
  <c r="G69" i="3"/>
  <c r="G6" i="3"/>
  <c r="G7" i="3"/>
  <c r="G8" i="3"/>
  <c r="G4" i="3"/>
  <c r="G5" i="3"/>
  <c r="G70" i="3"/>
  <c r="G34" i="3"/>
  <c r="G35" i="3"/>
  <c r="G11" i="3"/>
  <c r="G15" i="3"/>
  <c r="G16" i="3"/>
  <c r="G30" i="3"/>
  <c r="G71" i="3"/>
  <c r="E3" i="1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3" i="3"/>
  <c r="G32" i="3"/>
  <c r="G31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4" i="3"/>
  <c r="G13" i="3"/>
  <c r="G12" i="3"/>
  <c r="G10" i="3"/>
  <c r="E70" i="5"/>
  <c r="AA74" i="7"/>
  <c r="G70" i="5"/>
  <c r="H70" i="5"/>
  <c r="E69" i="5"/>
  <c r="AA73" i="7"/>
  <c r="G69" i="5"/>
  <c r="H69" i="5"/>
  <c r="E68" i="5"/>
  <c r="AA72" i="7"/>
  <c r="G68" i="5"/>
  <c r="H68" i="5"/>
  <c r="E67" i="5"/>
  <c r="AA71" i="7"/>
  <c r="G67" i="5"/>
  <c r="H67" i="5"/>
  <c r="E66" i="5"/>
  <c r="AA70" i="7"/>
  <c r="G66" i="5"/>
  <c r="H66" i="5"/>
  <c r="E65" i="5"/>
  <c r="AA69" i="7"/>
  <c r="G65" i="5"/>
  <c r="H65" i="5"/>
  <c r="E64" i="5"/>
  <c r="AA68" i="7"/>
  <c r="G64" i="5"/>
  <c r="H64" i="5"/>
  <c r="E63" i="5"/>
  <c r="AA67" i="7"/>
  <c r="G63" i="5"/>
  <c r="H63" i="5"/>
  <c r="E62" i="5"/>
  <c r="AA66" i="7"/>
  <c r="G62" i="5"/>
  <c r="H62" i="5"/>
  <c r="E61" i="5"/>
  <c r="AA65" i="7"/>
  <c r="G61" i="5"/>
  <c r="H61" i="5"/>
  <c r="E60" i="5"/>
  <c r="AA64" i="7"/>
  <c r="G60" i="5"/>
  <c r="H60" i="5"/>
  <c r="E59" i="5"/>
  <c r="AA63" i="7"/>
  <c r="G59" i="5"/>
  <c r="H59" i="5"/>
  <c r="E58" i="5"/>
  <c r="AA62" i="7"/>
  <c r="G58" i="5"/>
  <c r="H58" i="5"/>
  <c r="E57" i="5"/>
  <c r="AA61" i="7"/>
  <c r="G57" i="5"/>
  <c r="H57" i="5"/>
  <c r="E56" i="5"/>
  <c r="AA60" i="7"/>
  <c r="G56" i="5"/>
  <c r="H56" i="5"/>
  <c r="E55" i="5"/>
  <c r="AA59" i="7"/>
  <c r="G55" i="5"/>
  <c r="H55" i="5"/>
  <c r="E54" i="5"/>
  <c r="AA58" i="7"/>
  <c r="G54" i="5"/>
  <c r="H54" i="5"/>
  <c r="E53" i="5"/>
  <c r="AA57" i="7"/>
  <c r="G53" i="5"/>
  <c r="H53" i="5"/>
  <c r="E52" i="5"/>
  <c r="AA56" i="7"/>
  <c r="G52" i="5"/>
  <c r="H52" i="5"/>
  <c r="E51" i="5"/>
  <c r="AA55" i="7"/>
  <c r="G51" i="5"/>
  <c r="H51" i="5"/>
  <c r="E50" i="5"/>
  <c r="AA54" i="7"/>
  <c r="G50" i="5"/>
  <c r="H50" i="5"/>
  <c r="E49" i="5"/>
  <c r="AA53" i="7"/>
  <c r="G49" i="5"/>
  <c r="H49" i="5"/>
  <c r="E48" i="5"/>
  <c r="AA52" i="7"/>
  <c r="G48" i="5"/>
  <c r="H48" i="5"/>
  <c r="E47" i="5"/>
  <c r="AA51" i="7"/>
  <c r="G47" i="5"/>
  <c r="H47" i="5"/>
  <c r="E46" i="5"/>
  <c r="AA50" i="7"/>
  <c r="G46" i="5"/>
  <c r="H46" i="5"/>
  <c r="E45" i="5"/>
  <c r="AA49" i="7"/>
  <c r="G45" i="5"/>
  <c r="H45" i="5"/>
  <c r="E44" i="5"/>
  <c r="AA48" i="7"/>
  <c r="G44" i="5"/>
  <c r="H44" i="5"/>
  <c r="E43" i="5"/>
  <c r="AA47" i="7"/>
  <c r="G43" i="5"/>
  <c r="H43" i="5"/>
  <c r="E42" i="5"/>
  <c r="AA46" i="7"/>
  <c r="G42" i="5"/>
  <c r="H42" i="5"/>
  <c r="E41" i="5"/>
  <c r="AA45" i="7"/>
  <c r="G41" i="5"/>
  <c r="H41" i="5"/>
  <c r="E40" i="5"/>
  <c r="AA44" i="7"/>
  <c r="G40" i="5"/>
  <c r="H40" i="5"/>
  <c r="E39" i="5"/>
  <c r="AA43" i="7"/>
  <c r="G39" i="5"/>
  <c r="H39" i="5"/>
  <c r="E38" i="5"/>
  <c r="AA42" i="7"/>
  <c r="G38" i="5"/>
  <c r="H38" i="5"/>
  <c r="E37" i="5"/>
  <c r="AA41" i="7"/>
  <c r="G37" i="5"/>
  <c r="H37" i="5"/>
  <c r="E36" i="5"/>
  <c r="AA40" i="7"/>
  <c r="G36" i="5"/>
  <c r="H36" i="5"/>
  <c r="E35" i="5"/>
  <c r="AA39" i="7"/>
  <c r="G35" i="5"/>
  <c r="H35" i="5"/>
  <c r="E34" i="5"/>
  <c r="AA38" i="7"/>
  <c r="G34" i="5"/>
  <c r="H34" i="5"/>
  <c r="E33" i="5"/>
  <c r="AA37" i="7"/>
  <c r="G33" i="5"/>
  <c r="H33" i="5"/>
  <c r="E32" i="5"/>
  <c r="AA36" i="7"/>
  <c r="G32" i="5"/>
  <c r="H32" i="5"/>
  <c r="E31" i="5"/>
  <c r="AA35" i="7"/>
  <c r="G31" i="5"/>
  <c r="H31" i="5"/>
  <c r="E30" i="5"/>
  <c r="AA34" i="7"/>
  <c r="G30" i="5"/>
  <c r="H30" i="5"/>
  <c r="E29" i="5"/>
  <c r="AA33" i="7"/>
  <c r="G29" i="5"/>
  <c r="H29" i="5"/>
  <c r="E28" i="5"/>
  <c r="AA32" i="7"/>
  <c r="G28" i="5"/>
  <c r="H28" i="5"/>
  <c r="E27" i="5"/>
  <c r="AA31" i="7"/>
  <c r="G27" i="5"/>
  <c r="H27" i="5"/>
  <c r="E26" i="5"/>
  <c r="AA30" i="7"/>
  <c r="G26" i="5"/>
  <c r="H26" i="5"/>
  <c r="E25" i="5"/>
  <c r="AA29" i="7"/>
  <c r="G25" i="5"/>
  <c r="H25" i="5"/>
  <c r="E24" i="5"/>
  <c r="AA28" i="7"/>
  <c r="G24" i="5"/>
  <c r="H24" i="5"/>
  <c r="E23" i="5"/>
  <c r="AA27" i="7"/>
  <c r="G23" i="5"/>
  <c r="H23" i="5"/>
  <c r="E22" i="5"/>
  <c r="AA26" i="7"/>
  <c r="G22" i="5"/>
  <c r="H22" i="5"/>
  <c r="E21" i="5"/>
  <c r="AA25" i="7"/>
  <c r="G21" i="5"/>
  <c r="H21" i="5"/>
  <c r="E20" i="5"/>
  <c r="AA24" i="7"/>
  <c r="G20" i="5"/>
  <c r="H20" i="5"/>
  <c r="E19" i="5"/>
  <c r="AA23" i="7"/>
  <c r="G19" i="5"/>
  <c r="H19" i="5"/>
  <c r="E18" i="5"/>
  <c r="AA22" i="7"/>
  <c r="G18" i="5"/>
  <c r="H18" i="5"/>
  <c r="E17" i="5"/>
  <c r="AA21" i="7"/>
  <c r="G17" i="5"/>
  <c r="H17" i="5"/>
  <c r="E16" i="5"/>
  <c r="AA20" i="7"/>
  <c r="G16" i="5"/>
  <c r="H16" i="5"/>
  <c r="E15" i="5"/>
  <c r="AA19" i="7"/>
  <c r="G15" i="5"/>
  <c r="H15" i="5"/>
  <c r="E14" i="5"/>
  <c r="AA18" i="7"/>
  <c r="G14" i="5"/>
  <c r="H14" i="5"/>
  <c r="E13" i="5"/>
  <c r="AA17" i="7"/>
  <c r="G13" i="5"/>
  <c r="H13" i="5"/>
  <c r="E12" i="5"/>
  <c r="AA16" i="7"/>
  <c r="G12" i="5"/>
  <c r="H12" i="5"/>
  <c r="E11" i="5"/>
  <c r="AA15" i="7"/>
  <c r="G11" i="5"/>
  <c r="H11" i="5"/>
  <c r="E10" i="5"/>
  <c r="AA14" i="7"/>
  <c r="G10" i="5"/>
  <c r="H10" i="5"/>
  <c r="E9" i="5"/>
  <c r="AA13" i="7"/>
  <c r="G9" i="5"/>
  <c r="H9" i="5"/>
  <c r="E8" i="5"/>
  <c r="AA12" i="7"/>
  <c r="G8" i="5"/>
  <c r="H8" i="5"/>
  <c r="E7" i="5"/>
  <c r="AA11" i="7"/>
  <c r="G7" i="5"/>
  <c r="H7" i="5"/>
  <c r="E6" i="5"/>
  <c r="AA10" i="7"/>
  <c r="G6" i="5"/>
  <c r="H6" i="5"/>
  <c r="E5" i="5"/>
  <c r="AA9" i="7"/>
  <c r="G5" i="5"/>
  <c r="H5" i="5"/>
  <c r="E4" i="5"/>
  <c r="AA8" i="7"/>
  <c r="G4" i="5"/>
  <c r="H4" i="5"/>
  <c r="AA7" i="7"/>
  <c r="G3" i="5"/>
  <c r="E3" i="5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H3" i="5"/>
  <c r="G3" i="1"/>
</calcChain>
</file>

<file path=xl/sharedStrings.xml><?xml version="1.0" encoding="utf-8"?>
<sst xmlns="http://schemas.openxmlformats.org/spreadsheetml/2006/main" count="1881" uniqueCount="146">
  <si>
    <t>Tanggal</t>
  </si>
  <si>
    <t>Modal Awal</t>
  </si>
  <si>
    <t>Belanja Barang</t>
  </si>
  <si>
    <t>Oprasional</t>
  </si>
  <si>
    <t>Saldo Ahir</t>
  </si>
  <si>
    <t>Kategori</t>
  </si>
  <si>
    <t>Keterangan</t>
  </si>
  <si>
    <t>Jumlah</t>
  </si>
  <si>
    <t>BBM</t>
  </si>
  <si>
    <t>Gaji</t>
  </si>
  <si>
    <t>Supliyer</t>
  </si>
  <si>
    <t>Nama Barang</t>
  </si>
  <si>
    <t>Harga Beli</t>
  </si>
  <si>
    <t>Total Belanja</t>
  </si>
  <si>
    <t>Nama cs/sales</t>
  </si>
  <si>
    <t>Tunai</t>
  </si>
  <si>
    <t>Transfer</t>
  </si>
  <si>
    <t>Masuk</t>
  </si>
  <si>
    <t>Pemasukan</t>
  </si>
  <si>
    <t>Driver</t>
  </si>
  <si>
    <t>Kode Barang</t>
  </si>
  <si>
    <t>Stok Awal</t>
  </si>
  <si>
    <t>Stok Masuk</t>
  </si>
  <si>
    <t>Retur</t>
  </si>
  <si>
    <t>Stok Keluar</t>
  </si>
  <si>
    <t>Stok ahir</t>
  </si>
  <si>
    <t>Candi Cm</t>
  </si>
  <si>
    <t>Candi Cs</t>
  </si>
  <si>
    <t>Candi Bc</t>
  </si>
  <si>
    <t>Candi CJ</t>
  </si>
  <si>
    <t>Cabang</t>
  </si>
  <si>
    <t>cs/sales</t>
  </si>
  <si>
    <t>Qty Pesan</t>
  </si>
  <si>
    <t>Kertek</t>
  </si>
  <si>
    <t>Noval</t>
  </si>
  <si>
    <t>Tanggal Kirim</t>
  </si>
  <si>
    <t>No Order</t>
  </si>
  <si>
    <t>Qty Dikirim</t>
  </si>
  <si>
    <t>Sales</t>
  </si>
  <si>
    <t>Nilai Barang Dikirim</t>
  </si>
  <si>
    <t>Penjualan Bersih</t>
  </si>
  <si>
    <t>Pembayaran Pelanggan</t>
  </si>
  <si>
    <t>Pengeluaran</t>
  </si>
  <si>
    <t>Tagihan Lama</t>
  </si>
  <si>
    <t>Tagihan Terbayar</t>
  </si>
  <si>
    <t>Sisa Tagihan</t>
  </si>
  <si>
    <t>Candi Tenis</t>
  </si>
  <si>
    <t>Candi Kg</t>
  </si>
  <si>
    <t>Mie Bulat</t>
  </si>
  <si>
    <t>Mie Kriting</t>
  </si>
  <si>
    <t>And Oren k</t>
  </si>
  <si>
    <t>And Merah b</t>
  </si>
  <si>
    <t>And Merah k</t>
  </si>
  <si>
    <t>And Jumbo</t>
  </si>
  <si>
    <t xml:space="preserve">Taso </t>
  </si>
  <si>
    <t>Gelatin</t>
  </si>
  <si>
    <t>Men Ijo</t>
  </si>
  <si>
    <t>Men oren</t>
  </si>
  <si>
    <t>Yuda Besar</t>
  </si>
  <si>
    <t>Yuda Kecil</t>
  </si>
  <si>
    <t xml:space="preserve">Bakso Krikil </t>
  </si>
  <si>
    <t>Bogem</t>
  </si>
  <si>
    <t>NR isi 10</t>
  </si>
  <si>
    <t>Pangsit Kotak</t>
  </si>
  <si>
    <t>Pangsit kecil</t>
  </si>
  <si>
    <t>Pangsit Bunder</t>
  </si>
  <si>
    <t>Pangsit siomay</t>
  </si>
  <si>
    <t>Taso NR</t>
  </si>
  <si>
    <t>Mie ayam SR</t>
  </si>
  <si>
    <t>Rizky 20</t>
  </si>
  <si>
    <t>Rizky 10</t>
  </si>
  <si>
    <t>Asoy  cireng</t>
  </si>
  <si>
    <t>Sejati 10</t>
  </si>
  <si>
    <t>Sejati 20</t>
  </si>
  <si>
    <t>Cetatul</t>
  </si>
  <si>
    <t>Hemato</t>
  </si>
  <si>
    <t>Chic chic</t>
  </si>
  <si>
    <t>Suri</t>
  </si>
  <si>
    <t>So eco Crspy</t>
  </si>
  <si>
    <t>Sobat</t>
  </si>
  <si>
    <t>Chic" sosis</t>
  </si>
  <si>
    <t>Hemto somer</t>
  </si>
  <si>
    <t>Belfood</t>
  </si>
  <si>
    <t>Sonice</t>
  </si>
  <si>
    <t>Toples sosis</t>
  </si>
  <si>
    <t>Rakit otak"</t>
  </si>
  <si>
    <t>Jogya kwetio</t>
  </si>
  <si>
    <t>Kuning</t>
  </si>
  <si>
    <t>Lumpia B</t>
  </si>
  <si>
    <t>Lumpia k</t>
  </si>
  <si>
    <t>Rakit cireng</t>
  </si>
  <si>
    <t>Salam Somer</t>
  </si>
  <si>
    <t>Salam Bakar</t>
  </si>
  <si>
    <t>Salam Ori</t>
  </si>
  <si>
    <t>Salam Stik</t>
  </si>
  <si>
    <t>Salam Hati</t>
  </si>
  <si>
    <t>salam crispy</t>
  </si>
  <si>
    <t>Pangsit intan</t>
  </si>
  <si>
    <t>Asoy henza</t>
  </si>
  <si>
    <t>Asin B</t>
  </si>
  <si>
    <t>Asin K</t>
  </si>
  <si>
    <t>Balok coklat</t>
  </si>
  <si>
    <t>Balok pandan</t>
  </si>
  <si>
    <t>Balok Taro</t>
  </si>
  <si>
    <t>Lapis legit</t>
  </si>
  <si>
    <t>Bronis coklat</t>
  </si>
  <si>
    <t>Bronis Pandan</t>
  </si>
  <si>
    <t>Bronis tape</t>
  </si>
  <si>
    <t>Bronis Lumer</t>
  </si>
  <si>
    <t>Mantap B</t>
  </si>
  <si>
    <t>Pt Gsm</t>
  </si>
  <si>
    <t>P Edi</t>
  </si>
  <si>
    <t>P agus</t>
  </si>
  <si>
    <t>P Bram</t>
  </si>
  <si>
    <t>ozi</t>
  </si>
  <si>
    <t>P alif</t>
  </si>
  <si>
    <t>Yuli</t>
  </si>
  <si>
    <t>P kris</t>
  </si>
  <si>
    <t>hanan</t>
  </si>
  <si>
    <t>japfa</t>
  </si>
  <si>
    <t>Rakit</t>
  </si>
  <si>
    <t>pt pbs</t>
  </si>
  <si>
    <t>Henza</t>
  </si>
  <si>
    <t>Eka</t>
  </si>
  <si>
    <t>Bdg</t>
  </si>
  <si>
    <t>Ttok</t>
  </si>
  <si>
    <t>Lain"</t>
  </si>
  <si>
    <t>Total</t>
  </si>
  <si>
    <t>Wonosobo</t>
  </si>
  <si>
    <t>Banjarnegara</t>
  </si>
  <si>
    <t>Wonodadi</t>
  </si>
  <si>
    <t>Kejobong</t>
  </si>
  <si>
    <t>Mandiraja</t>
  </si>
  <si>
    <t>Purwokerto</t>
  </si>
  <si>
    <t>Gabungan</t>
  </si>
  <si>
    <t>Frozen</t>
  </si>
  <si>
    <t>Yakub</t>
  </si>
  <si>
    <t>Mihrom</t>
  </si>
  <si>
    <t>Salam</t>
  </si>
  <si>
    <t>Huda</t>
  </si>
  <si>
    <t>Tefri</t>
  </si>
  <si>
    <t>Parkir</t>
  </si>
  <si>
    <t>Purwomerto</t>
  </si>
  <si>
    <t>Cireng rakit</t>
  </si>
  <si>
    <t>no order</t>
  </si>
  <si>
    <t>Penjualan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</si>
</sst>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64" formatCode="[$Rp-421]#,##0"/>
  </numFmts>
  <fonts count="1" x14ac:knownFonts="1">
    <font>
      <sz val="11"/>
      <color theme="1"/>
      <name val="Aptos Narrow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14" fontId="0" fillId="0" borderId="1" xfId="0" applyNumberFormat="1" applyBorder="1"/>
    <xf numFmtId="6" fontId="0" fillId="0" borderId="1" xfId="0" applyNumberFormat="1" applyBorder="1"/>
    <xf numFmtId="6" fontId="0" fillId="0" borderId="0" xfId="0" applyNumberFormat="1"/>
    <xf numFmtId="0" fontId="0" fillId="0" borderId="1" xfId="0" applyBorder="1" applyAlignment="1">
      <alignment horizontal="center"/>
    </xf>
    <xf numFmtId="0" fontId="0" fillId="2" borderId="2" xfId="0" applyFill="1" applyBorder="1"/>
    <xf numFmtId="0" fontId="0" fillId="0" borderId="3" xfId="0" applyBorder="1"/>
    <xf numFmtId="0" fontId="0" fillId="0" borderId="1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1" xfId="0" applyFill="1" applyBorder="1"/>
    <xf numFmtId="0" fontId="0" fillId="0" borderId="3" xfId="0" applyBorder="1" applyAlignment="1">
      <alignment horizontal="center"/>
    </xf>
    <xf numFmtId="0" fontId="0" fillId="0" borderId="8" xfId="0" applyBorder="1"/>
    <xf numFmtId="0" fontId="0" fillId="0" borderId="0" xfId="0" applyBorder="1"/>
    <xf numFmtId="0" fontId="0" fillId="2" borderId="9" xfId="0" applyFill="1" applyBorder="1"/>
    <xf numFmtId="0" fontId="0" fillId="0" borderId="10" xfId="0" applyBorder="1"/>
    <xf numFmtId="0" fontId="0" fillId="2" borderId="7" xfId="0" applyFill="1" applyBorder="1"/>
    <xf numFmtId="0" fontId="0" fillId="0" borderId="11" xfId="0" applyBorder="1"/>
    <xf numFmtId="0" fontId="0" fillId="2" borderId="6" xfId="0" applyFill="1" applyBorder="1"/>
    <xf numFmtId="0" fontId="0" fillId="0" borderId="9" xfId="0" applyBorder="1" applyAlignment="1">
      <alignment horizontal="center"/>
    </xf>
    <xf numFmtId="0" fontId="0" fillId="2" borderId="4" xfId="0" applyFill="1" applyBorder="1"/>
    <xf numFmtId="0" fontId="0" fillId="0" borderId="10" xfId="0" applyBorder="1" applyAlignment="1">
      <alignment horizontal="center"/>
    </xf>
    <xf numFmtId="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6" fontId="0" fillId="3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2" xfId="0" applyBorder="1"/>
    <xf numFmtId="6" fontId="0" fillId="3" borderId="0" xfId="0" applyNumberFormat="1" applyFill="1"/>
    <xf numFmtId="164" fontId="0" fillId="0" borderId="1" xfId="0" applyNumberFormat="1" applyBorder="1" applyAlignment="1">
      <alignment horizontal="center"/>
    </xf>
    <xf numFmtId="6" fontId="0" fillId="0" borderId="0" xfId="0" applyNumberFormat="1" applyAlignment="1">
      <alignment horizontal="center"/>
    </xf>
    <xf numFmtId="14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14" fontId="0" fillId="0" borderId="5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EBFA-062B-E542-AF2F-D97179B71A56}">
  <dimension ref="B2:U74"/>
  <sheetViews>
    <sheetView topLeftCell="G1" zoomScaleNormal="60" zoomScaleSheetLayoutView="100" workbookViewId="0">
      <selection activeCell="R27" sqref="R27"/>
    </sheetView>
  </sheetViews>
  <sheetFormatPr defaultRowHeight="15" x14ac:dyDescent="0.2"/>
  <cols>
    <col min="2" max="2" width="14.125" bestFit="1" customWidth="1"/>
    <col min="3" max="3" width="11.02734375" bestFit="1" customWidth="1"/>
    <col min="4" max="4" width="14.125" bestFit="1" customWidth="1"/>
    <col min="5" max="5" width="11.02734375" bestFit="1" customWidth="1"/>
    <col min="6" max="6" width="14.125" bestFit="1" customWidth="1"/>
    <col min="7" max="7" width="11.02734375" bestFit="1" customWidth="1"/>
    <col min="8" max="8" width="14.125" bestFit="1" customWidth="1"/>
    <col min="10" max="10" width="14.125" bestFit="1" customWidth="1"/>
    <col min="11" max="11" width="10.4921875" bestFit="1" customWidth="1"/>
    <col min="12" max="12" width="14.125" bestFit="1" customWidth="1"/>
    <col min="13" max="13" width="10.625" bestFit="1" customWidth="1"/>
    <col min="14" max="14" width="14.125" bestFit="1" customWidth="1"/>
    <col min="15" max="15" width="10.625" bestFit="1" customWidth="1"/>
    <col min="16" max="16" width="14.125" bestFit="1" customWidth="1"/>
    <col min="17" max="17" width="11.02734375" bestFit="1" customWidth="1"/>
    <col min="18" max="18" width="14.125" bestFit="1" customWidth="1"/>
    <col min="19" max="19" width="10.625" bestFit="1" customWidth="1"/>
    <col min="21" max="21" width="13.71875" bestFit="1" customWidth="1"/>
  </cols>
  <sheetData>
    <row r="2" spans="2:21" x14ac:dyDescent="0.2">
      <c r="B2" s="9" t="s">
        <v>0</v>
      </c>
      <c r="C2" s="34">
        <v>46314</v>
      </c>
      <c r="D2" s="9" t="s">
        <v>0</v>
      </c>
      <c r="E2" s="34">
        <v>46314</v>
      </c>
      <c r="F2" s="9" t="s">
        <v>0</v>
      </c>
      <c r="G2" s="34">
        <v>46314</v>
      </c>
      <c r="H2" s="9" t="s">
        <v>0</v>
      </c>
      <c r="I2" s="35"/>
      <c r="J2" s="9" t="s">
        <v>0</v>
      </c>
      <c r="K2" s="34">
        <v>46314</v>
      </c>
      <c r="L2" s="9" t="s">
        <v>0</v>
      </c>
      <c r="M2" s="34">
        <v>46314</v>
      </c>
      <c r="N2" s="9" t="s">
        <v>0</v>
      </c>
      <c r="O2" s="34">
        <v>46314</v>
      </c>
      <c r="P2" s="9" t="s">
        <v>0</v>
      </c>
      <c r="Q2" s="36">
        <v>46314</v>
      </c>
      <c r="R2" s="9" t="s">
        <v>0</v>
      </c>
      <c r="S2" s="36">
        <v>46314</v>
      </c>
    </row>
    <row r="3" spans="2:21" x14ac:dyDescent="0.2">
      <c r="B3" s="11" t="s">
        <v>30</v>
      </c>
      <c r="C3" s="16" t="s">
        <v>33</v>
      </c>
      <c r="D3" s="11" t="s">
        <v>30</v>
      </c>
      <c r="E3" s="16" t="s">
        <v>128</v>
      </c>
      <c r="F3" s="11" t="s">
        <v>30</v>
      </c>
      <c r="G3" s="16" t="s">
        <v>129</v>
      </c>
      <c r="H3" s="11" t="s">
        <v>30</v>
      </c>
      <c r="I3" s="16" t="s">
        <v>130</v>
      </c>
      <c r="J3" s="11" t="s">
        <v>30</v>
      </c>
      <c r="K3" s="16" t="s">
        <v>131</v>
      </c>
      <c r="L3" s="11" t="s">
        <v>30</v>
      </c>
      <c r="M3" s="16" t="s">
        <v>132</v>
      </c>
      <c r="N3" s="11" t="s">
        <v>30</v>
      </c>
      <c r="O3" s="16" t="s">
        <v>133</v>
      </c>
      <c r="P3" s="11" t="s">
        <v>30</v>
      </c>
      <c r="Q3" s="12" t="s">
        <v>134</v>
      </c>
      <c r="R3" s="11" t="s">
        <v>30</v>
      </c>
      <c r="S3" s="12" t="s">
        <v>135</v>
      </c>
    </row>
    <row r="4" spans="2:21" x14ac:dyDescent="0.2">
      <c r="B4" s="11" t="s">
        <v>38</v>
      </c>
      <c r="C4" s="16" t="s">
        <v>34</v>
      </c>
      <c r="D4" s="11" t="s">
        <v>38</v>
      </c>
      <c r="E4" s="16" t="s">
        <v>136</v>
      </c>
      <c r="F4" s="11" t="s">
        <v>38</v>
      </c>
      <c r="G4" s="16" t="s">
        <v>137</v>
      </c>
      <c r="H4" s="11" t="s">
        <v>38</v>
      </c>
      <c r="I4" s="16" t="s">
        <v>138</v>
      </c>
      <c r="J4" s="11" t="s">
        <v>38</v>
      </c>
      <c r="K4" s="16" t="s">
        <v>139</v>
      </c>
      <c r="L4" s="11" t="s">
        <v>38</v>
      </c>
      <c r="M4" s="16" t="s">
        <v>123</v>
      </c>
      <c r="N4" s="11" t="s">
        <v>38</v>
      </c>
      <c r="O4" s="16" t="s">
        <v>140</v>
      </c>
      <c r="P4" s="11" t="s">
        <v>38</v>
      </c>
      <c r="Q4" s="12"/>
      <c r="R4" s="11" t="s">
        <v>38</v>
      </c>
      <c r="S4" s="12"/>
    </row>
    <row r="5" spans="2:21" x14ac:dyDescent="0.2">
      <c r="B5" s="11" t="s">
        <v>144</v>
      </c>
      <c r="C5" s="16"/>
      <c r="D5" s="11" t="s">
        <v>144</v>
      </c>
      <c r="E5" s="16"/>
      <c r="F5" s="11" t="s">
        <v>144</v>
      </c>
      <c r="G5" s="16"/>
      <c r="H5" s="11" t="s">
        <v>144</v>
      </c>
      <c r="I5" s="16"/>
      <c r="J5" s="11" t="s">
        <v>144</v>
      </c>
      <c r="K5" s="16"/>
      <c r="L5" s="11" t="s">
        <v>144</v>
      </c>
      <c r="M5" s="20"/>
      <c r="N5" s="11" t="s">
        <v>144</v>
      </c>
      <c r="O5" s="16"/>
      <c r="P5" s="11" t="s">
        <v>144</v>
      </c>
      <c r="Q5" s="12"/>
      <c r="R5" s="11" t="s">
        <v>144</v>
      </c>
      <c r="S5" s="12"/>
    </row>
    <row r="6" spans="2:21" x14ac:dyDescent="0.2">
      <c r="B6" s="13" t="s">
        <v>11</v>
      </c>
      <c r="C6" s="17" t="s">
        <v>32</v>
      </c>
      <c r="D6" s="13" t="s">
        <v>11</v>
      </c>
      <c r="E6" s="17" t="s">
        <v>32</v>
      </c>
      <c r="F6" s="13" t="s">
        <v>11</v>
      </c>
      <c r="G6" s="17" t="s">
        <v>32</v>
      </c>
      <c r="H6" s="13" t="s">
        <v>11</v>
      </c>
      <c r="I6" s="17" t="s">
        <v>32</v>
      </c>
      <c r="J6" s="13" t="s">
        <v>11</v>
      </c>
      <c r="K6" s="13" t="s">
        <v>32</v>
      </c>
      <c r="L6" s="19" t="s">
        <v>11</v>
      </c>
      <c r="M6" s="21" t="s">
        <v>32</v>
      </c>
      <c r="N6" s="6" t="s">
        <v>11</v>
      </c>
      <c r="O6" s="23" t="s">
        <v>32</v>
      </c>
      <c r="P6" s="6" t="s">
        <v>11</v>
      </c>
      <c r="Q6" s="6" t="s">
        <v>32</v>
      </c>
      <c r="R6" s="6" t="s">
        <v>11</v>
      </c>
      <c r="S6" s="23" t="s">
        <v>32</v>
      </c>
      <c r="T6" s="27" t="s">
        <v>127</v>
      </c>
      <c r="U6" s="6" t="s">
        <v>11</v>
      </c>
    </row>
    <row r="7" spans="2:21" x14ac:dyDescent="0.2">
      <c r="B7" s="7" t="s">
        <v>26</v>
      </c>
      <c r="C7" s="14">
        <v>600</v>
      </c>
      <c r="D7" s="7" t="s">
        <v>26</v>
      </c>
      <c r="E7" s="14">
        <v>800</v>
      </c>
      <c r="F7" s="7" t="s">
        <v>26</v>
      </c>
      <c r="G7" s="14">
        <v>1100</v>
      </c>
      <c r="H7" s="7" t="s">
        <v>26</v>
      </c>
      <c r="I7" s="14">
        <v>0</v>
      </c>
      <c r="J7" s="7" t="s">
        <v>26</v>
      </c>
      <c r="K7" s="14">
        <v>0</v>
      </c>
      <c r="L7" s="1" t="s">
        <v>26</v>
      </c>
      <c r="M7" s="22">
        <v>0</v>
      </c>
      <c r="N7" s="1" t="s">
        <v>26</v>
      </c>
      <c r="O7" s="22">
        <v>0</v>
      </c>
      <c r="P7" s="1" t="s">
        <v>26</v>
      </c>
      <c r="Q7" s="5">
        <v>0</v>
      </c>
      <c r="R7" s="1" t="s">
        <v>26</v>
      </c>
      <c r="S7" s="22">
        <v>0</v>
      </c>
      <c r="T7" s="27">
        <f>C7+E7+G7+I7+K7+M7+O7+Q7+S7</f>
        <v>2500</v>
      </c>
      <c r="U7" s="1" t="s">
        <v>26</v>
      </c>
    </row>
    <row r="8" spans="2:21" x14ac:dyDescent="0.2">
      <c r="B8" s="1" t="s">
        <v>27</v>
      </c>
      <c r="C8" s="5">
        <v>100</v>
      </c>
      <c r="D8" s="1" t="s">
        <v>27</v>
      </c>
      <c r="E8" s="5">
        <v>200</v>
      </c>
      <c r="F8" s="1" t="s">
        <v>27</v>
      </c>
      <c r="G8" s="5">
        <v>150</v>
      </c>
      <c r="H8" s="1" t="s">
        <v>27</v>
      </c>
      <c r="I8" s="5"/>
      <c r="J8" s="1" t="s">
        <v>27</v>
      </c>
      <c r="K8" s="5"/>
      <c r="L8" s="1" t="s">
        <v>27</v>
      </c>
      <c r="M8" s="5"/>
      <c r="N8" s="7" t="s">
        <v>27</v>
      </c>
      <c r="O8" s="24"/>
      <c r="P8" s="1" t="s">
        <v>27</v>
      </c>
      <c r="Q8" s="5"/>
      <c r="R8" s="1" t="s">
        <v>27</v>
      </c>
      <c r="S8" s="22">
        <v>25</v>
      </c>
      <c r="T8" s="27">
        <f t="shared" ref="T8:T71" si="0">C8+E8+G8+I8+K8+M8+O8+Q8+S8</f>
        <v>475</v>
      </c>
      <c r="U8" s="1" t="s">
        <v>27</v>
      </c>
    </row>
    <row r="9" spans="2:21" x14ac:dyDescent="0.2">
      <c r="B9" s="1" t="s">
        <v>28</v>
      </c>
      <c r="C9" s="5">
        <v>350</v>
      </c>
      <c r="D9" s="1" t="s">
        <v>28</v>
      </c>
      <c r="E9" s="5">
        <v>325</v>
      </c>
      <c r="F9" s="1" t="s">
        <v>28</v>
      </c>
      <c r="G9" s="5">
        <v>1350</v>
      </c>
      <c r="H9" s="1" t="s">
        <v>28</v>
      </c>
      <c r="I9" s="5"/>
      <c r="J9" s="1" t="s">
        <v>28</v>
      </c>
      <c r="K9" s="5">
        <v>100</v>
      </c>
      <c r="L9" s="1" t="s">
        <v>28</v>
      </c>
      <c r="M9" s="5">
        <v>50</v>
      </c>
      <c r="N9" s="1" t="s">
        <v>28</v>
      </c>
      <c r="O9" s="5">
        <v>50</v>
      </c>
      <c r="P9" s="7" t="s">
        <v>28</v>
      </c>
      <c r="Q9" s="14">
        <v>50</v>
      </c>
      <c r="R9" s="7" t="s">
        <v>28</v>
      </c>
      <c r="S9" s="24">
        <v>50</v>
      </c>
      <c r="T9" s="27">
        <f t="shared" si="0"/>
        <v>2325</v>
      </c>
      <c r="U9" s="7" t="s">
        <v>28</v>
      </c>
    </row>
    <row r="10" spans="2:21" x14ac:dyDescent="0.2">
      <c r="B10" s="1" t="s">
        <v>29</v>
      </c>
      <c r="C10" s="5"/>
      <c r="D10" s="1" t="s">
        <v>29</v>
      </c>
      <c r="E10" s="5"/>
      <c r="F10" s="1" t="s">
        <v>29</v>
      </c>
      <c r="G10" s="5"/>
      <c r="H10" s="1" t="s">
        <v>29</v>
      </c>
      <c r="I10" s="5"/>
      <c r="J10" s="1" t="s">
        <v>29</v>
      </c>
      <c r="K10" s="5"/>
      <c r="L10" s="1" t="s">
        <v>29</v>
      </c>
      <c r="M10" s="5"/>
      <c r="N10" s="1" t="s">
        <v>29</v>
      </c>
      <c r="O10" s="5"/>
      <c r="P10" s="1" t="s">
        <v>29</v>
      </c>
      <c r="Q10" s="5"/>
      <c r="R10" s="1" t="s">
        <v>29</v>
      </c>
      <c r="S10" s="22">
        <v>150</v>
      </c>
      <c r="T10" s="27">
        <f t="shared" si="0"/>
        <v>150</v>
      </c>
      <c r="U10" s="1" t="s">
        <v>29</v>
      </c>
    </row>
    <row r="11" spans="2:21" x14ac:dyDescent="0.2">
      <c r="B11" s="1" t="s">
        <v>46</v>
      </c>
      <c r="C11" s="5"/>
      <c r="D11" s="1" t="s">
        <v>46</v>
      </c>
      <c r="E11" s="5"/>
      <c r="F11" s="1" t="s">
        <v>46</v>
      </c>
      <c r="G11" s="5"/>
      <c r="H11" s="1" t="s">
        <v>46</v>
      </c>
      <c r="I11" s="1"/>
      <c r="J11" s="1" t="s">
        <v>46</v>
      </c>
      <c r="K11" s="5"/>
      <c r="L11" s="1" t="s">
        <v>46</v>
      </c>
      <c r="M11" s="5"/>
      <c r="N11" s="1" t="s">
        <v>46</v>
      </c>
      <c r="O11" s="5"/>
      <c r="P11" s="1" t="s">
        <v>46</v>
      </c>
      <c r="Q11" s="5"/>
      <c r="R11" s="1" t="s">
        <v>46</v>
      </c>
      <c r="S11" s="22"/>
      <c r="T11" s="27">
        <f t="shared" si="0"/>
        <v>0</v>
      </c>
      <c r="U11" s="1" t="s">
        <v>46</v>
      </c>
    </row>
    <row r="12" spans="2:21" x14ac:dyDescent="0.2">
      <c r="B12" s="1" t="s">
        <v>47</v>
      </c>
      <c r="C12" s="5"/>
      <c r="D12" s="1" t="s">
        <v>47</v>
      </c>
      <c r="E12" s="5"/>
      <c r="F12" s="1" t="s">
        <v>47</v>
      </c>
      <c r="G12" s="5"/>
      <c r="H12" s="1" t="s">
        <v>47</v>
      </c>
      <c r="I12" s="1"/>
      <c r="J12" s="1" t="s">
        <v>47</v>
      </c>
      <c r="K12" s="5"/>
      <c r="L12" s="1" t="s">
        <v>47</v>
      </c>
      <c r="M12" s="5"/>
      <c r="N12" s="1" t="s">
        <v>47</v>
      </c>
      <c r="O12" s="5"/>
      <c r="P12" s="1" t="s">
        <v>47</v>
      </c>
      <c r="Q12" s="5"/>
      <c r="R12" s="1" t="s">
        <v>47</v>
      </c>
      <c r="S12" s="22">
        <v>50</v>
      </c>
      <c r="T12" s="27">
        <f t="shared" si="0"/>
        <v>50</v>
      </c>
      <c r="U12" s="1" t="s">
        <v>47</v>
      </c>
    </row>
    <row r="13" spans="2:21" x14ac:dyDescent="0.2">
      <c r="B13" s="1" t="s">
        <v>48</v>
      </c>
      <c r="C13" s="5">
        <v>20</v>
      </c>
      <c r="D13" s="1" t="s">
        <v>48</v>
      </c>
      <c r="E13" s="5">
        <v>45</v>
      </c>
      <c r="F13" s="1" t="s">
        <v>48</v>
      </c>
      <c r="G13" s="5">
        <v>35</v>
      </c>
      <c r="H13" s="1" t="s">
        <v>48</v>
      </c>
      <c r="I13" s="1"/>
      <c r="J13" s="1" t="s">
        <v>48</v>
      </c>
      <c r="K13" s="5">
        <v>3</v>
      </c>
      <c r="L13" s="1" t="s">
        <v>48</v>
      </c>
      <c r="M13" s="5">
        <v>2.5</v>
      </c>
      <c r="N13" s="1" t="s">
        <v>48</v>
      </c>
      <c r="O13" s="5">
        <v>5</v>
      </c>
      <c r="P13" s="1" t="s">
        <v>48</v>
      </c>
      <c r="Q13" s="5"/>
      <c r="R13" s="1" t="s">
        <v>48</v>
      </c>
      <c r="S13" s="22"/>
      <c r="T13" s="27">
        <f t="shared" si="0"/>
        <v>110.5</v>
      </c>
      <c r="U13" s="1" t="s">
        <v>48</v>
      </c>
    </row>
    <row r="14" spans="2:21" x14ac:dyDescent="0.2">
      <c r="B14" s="1" t="s">
        <v>49</v>
      </c>
      <c r="C14" s="5"/>
      <c r="D14" s="1" t="s">
        <v>49</v>
      </c>
      <c r="E14" s="5"/>
      <c r="F14" s="1" t="s">
        <v>49</v>
      </c>
      <c r="G14" s="5"/>
      <c r="H14" s="1" t="s">
        <v>49</v>
      </c>
      <c r="I14" s="1"/>
      <c r="J14" s="1" t="s">
        <v>49</v>
      </c>
      <c r="K14" s="5"/>
      <c r="L14" s="1" t="s">
        <v>49</v>
      </c>
      <c r="M14" s="5"/>
      <c r="N14" s="1" t="s">
        <v>49</v>
      </c>
      <c r="O14" s="5"/>
      <c r="P14" s="1" t="s">
        <v>49</v>
      </c>
      <c r="Q14" s="5"/>
      <c r="R14" s="1" t="s">
        <v>49</v>
      </c>
      <c r="S14" s="22"/>
      <c r="T14" s="27">
        <f t="shared" si="0"/>
        <v>0</v>
      </c>
      <c r="U14" s="1" t="s">
        <v>49</v>
      </c>
    </row>
    <row r="15" spans="2:21" x14ac:dyDescent="0.2">
      <c r="B15" s="1" t="s">
        <v>50</v>
      </c>
      <c r="C15" s="5">
        <v>800</v>
      </c>
      <c r="D15" s="1" t="s">
        <v>50</v>
      </c>
      <c r="E15" s="5">
        <v>460</v>
      </c>
      <c r="F15" s="1" t="s">
        <v>50</v>
      </c>
      <c r="G15" s="5">
        <v>650</v>
      </c>
      <c r="H15" s="1" t="s">
        <v>50</v>
      </c>
      <c r="I15" s="1"/>
      <c r="J15" s="1" t="s">
        <v>50</v>
      </c>
      <c r="K15" s="5"/>
      <c r="L15" s="1" t="s">
        <v>50</v>
      </c>
      <c r="M15" s="5">
        <v>30</v>
      </c>
      <c r="N15" s="1" t="s">
        <v>50</v>
      </c>
      <c r="O15" s="5">
        <v>100</v>
      </c>
      <c r="P15" s="1" t="s">
        <v>50</v>
      </c>
      <c r="Q15" s="5"/>
      <c r="R15" s="1" t="s">
        <v>50</v>
      </c>
      <c r="S15" s="22"/>
      <c r="T15" s="27">
        <f t="shared" si="0"/>
        <v>2040</v>
      </c>
      <c r="U15" s="1" t="s">
        <v>50</v>
      </c>
    </row>
    <row r="16" spans="2:21" x14ac:dyDescent="0.2">
      <c r="B16" s="1" t="s">
        <v>51</v>
      </c>
      <c r="C16" s="5"/>
      <c r="D16" s="1" t="s">
        <v>51</v>
      </c>
      <c r="E16" s="5"/>
      <c r="F16" s="1" t="s">
        <v>51</v>
      </c>
      <c r="G16" s="5"/>
      <c r="H16" s="1" t="s">
        <v>51</v>
      </c>
      <c r="I16" s="1"/>
      <c r="J16" s="1" t="s">
        <v>51</v>
      </c>
      <c r="K16" s="5"/>
      <c r="L16" s="1" t="s">
        <v>51</v>
      </c>
      <c r="M16" s="5"/>
      <c r="N16" s="1" t="s">
        <v>51</v>
      </c>
      <c r="O16" s="5"/>
      <c r="P16" s="1" t="s">
        <v>51</v>
      </c>
      <c r="Q16" s="5"/>
      <c r="R16" s="1" t="s">
        <v>51</v>
      </c>
      <c r="S16" s="22"/>
      <c r="T16" s="27">
        <f t="shared" si="0"/>
        <v>0</v>
      </c>
      <c r="U16" s="1" t="s">
        <v>51</v>
      </c>
    </row>
    <row r="17" spans="2:21" x14ac:dyDescent="0.2">
      <c r="B17" s="1" t="s">
        <v>52</v>
      </c>
      <c r="C17" s="5"/>
      <c r="D17" s="1" t="s">
        <v>52</v>
      </c>
      <c r="E17" s="5"/>
      <c r="F17" s="1" t="s">
        <v>52</v>
      </c>
      <c r="G17" s="5"/>
      <c r="H17" s="1" t="s">
        <v>52</v>
      </c>
      <c r="I17" s="1"/>
      <c r="J17" s="1" t="s">
        <v>52</v>
      </c>
      <c r="K17" s="5"/>
      <c r="L17" s="1" t="s">
        <v>52</v>
      </c>
      <c r="M17" s="5"/>
      <c r="N17" s="1" t="s">
        <v>52</v>
      </c>
      <c r="O17" s="5"/>
      <c r="P17" s="1" t="s">
        <v>52</v>
      </c>
      <c r="Q17" s="5"/>
      <c r="R17" s="1" t="s">
        <v>52</v>
      </c>
      <c r="S17" s="22"/>
      <c r="T17" s="27">
        <f t="shared" si="0"/>
        <v>0</v>
      </c>
      <c r="U17" s="1" t="s">
        <v>52</v>
      </c>
    </row>
    <row r="18" spans="2:21" x14ac:dyDescent="0.2">
      <c r="B18" s="1" t="s">
        <v>53</v>
      </c>
      <c r="C18" s="5"/>
      <c r="D18" s="1" t="s">
        <v>53</v>
      </c>
      <c r="E18" s="5"/>
      <c r="F18" s="1" t="s">
        <v>53</v>
      </c>
      <c r="G18" s="5"/>
      <c r="H18" s="1" t="s">
        <v>53</v>
      </c>
      <c r="I18" s="1"/>
      <c r="J18" s="1" t="s">
        <v>53</v>
      </c>
      <c r="K18" s="5"/>
      <c r="L18" s="1" t="s">
        <v>53</v>
      </c>
      <c r="M18" s="5"/>
      <c r="N18" s="1" t="s">
        <v>53</v>
      </c>
      <c r="O18" s="5"/>
      <c r="P18" s="1" t="s">
        <v>53</v>
      </c>
      <c r="Q18" s="5"/>
      <c r="R18" s="1" t="s">
        <v>53</v>
      </c>
      <c r="S18" s="22"/>
      <c r="T18" s="27">
        <f t="shared" si="0"/>
        <v>0</v>
      </c>
      <c r="U18" s="1" t="s">
        <v>53</v>
      </c>
    </row>
    <row r="19" spans="2:21" x14ac:dyDescent="0.2">
      <c r="B19" s="1" t="s">
        <v>54</v>
      </c>
      <c r="C19" s="5"/>
      <c r="D19" s="1" t="s">
        <v>54</v>
      </c>
      <c r="E19" s="5">
        <v>30</v>
      </c>
      <c r="F19" s="1" t="s">
        <v>54</v>
      </c>
      <c r="G19" s="5"/>
      <c r="H19" s="1" t="s">
        <v>54</v>
      </c>
      <c r="I19" s="1"/>
      <c r="J19" s="1" t="s">
        <v>54</v>
      </c>
      <c r="K19" s="5">
        <v>10</v>
      </c>
      <c r="L19" s="1" t="s">
        <v>54</v>
      </c>
      <c r="M19" s="5"/>
      <c r="N19" s="1" t="s">
        <v>54</v>
      </c>
      <c r="O19" s="5"/>
      <c r="P19" s="1" t="s">
        <v>54</v>
      </c>
      <c r="Q19" s="5"/>
      <c r="R19" s="1" t="s">
        <v>54</v>
      </c>
      <c r="S19" s="22"/>
      <c r="T19" s="27">
        <f t="shared" si="0"/>
        <v>40</v>
      </c>
      <c r="U19" s="1" t="s">
        <v>54</v>
      </c>
    </row>
    <row r="20" spans="2:21" x14ac:dyDescent="0.2">
      <c r="B20" s="1" t="s">
        <v>55</v>
      </c>
      <c r="C20" s="5"/>
      <c r="D20" s="1" t="s">
        <v>55</v>
      </c>
      <c r="E20" s="5"/>
      <c r="F20" s="1" t="s">
        <v>55</v>
      </c>
      <c r="G20" s="5">
        <v>10</v>
      </c>
      <c r="H20" s="1" t="s">
        <v>55</v>
      </c>
      <c r="I20" s="1"/>
      <c r="J20" s="1" t="s">
        <v>55</v>
      </c>
      <c r="K20" s="5"/>
      <c r="L20" s="1" t="s">
        <v>55</v>
      </c>
      <c r="M20" s="5"/>
      <c r="N20" s="1" t="s">
        <v>55</v>
      </c>
      <c r="O20" s="5"/>
      <c r="P20" s="1" t="s">
        <v>55</v>
      </c>
      <c r="Q20" s="5">
        <v>10</v>
      </c>
      <c r="R20" s="1" t="s">
        <v>55</v>
      </c>
      <c r="S20" s="22"/>
      <c r="T20" s="27">
        <f t="shared" si="0"/>
        <v>20</v>
      </c>
      <c r="U20" s="1" t="s">
        <v>55</v>
      </c>
    </row>
    <row r="21" spans="2:21" x14ac:dyDescent="0.2">
      <c r="B21" s="1" t="s">
        <v>56</v>
      </c>
      <c r="C21" s="5"/>
      <c r="D21" s="1" t="s">
        <v>56</v>
      </c>
      <c r="E21" s="5"/>
      <c r="F21" s="1" t="s">
        <v>56</v>
      </c>
      <c r="G21" s="5"/>
      <c r="H21" s="1" t="s">
        <v>56</v>
      </c>
      <c r="I21" s="1"/>
      <c r="J21" s="1" t="s">
        <v>56</v>
      </c>
      <c r="K21" s="5"/>
      <c r="L21" s="1" t="s">
        <v>56</v>
      </c>
      <c r="M21" s="5"/>
      <c r="N21" s="1" t="s">
        <v>56</v>
      </c>
      <c r="O21" s="5"/>
      <c r="P21" s="1" t="s">
        <v>56</v>
      </c>
      <c r="Q21" s="5">
        <v>75</v>
      </c>
      <c r="R21" s="1" t="s">
        <v>56</v>
      </c>
      <c r="S21" s="22"/>
      <c r="T21" s="27">
        <f t="shared" si="0"/>
        <v>75</v>
      </c>
      <c r="U21" s="1" t="s">
        <v>56</v>
      </c>
    </row>
    <row r="22" spans="2:21" x14ac:dyDescent="0.2">
      <c r="B22" s="1" t="s">
        <v>57</v>
      </c>
      <c r="C22" s="5"/>
      <c r="D22" s="1" t="s">
        <v>57</v>
      </c>
      <c r="E22" s="5"/>
      <c r="F22" s="1" t="s">
        <v>57</v>
      </c>
      <c r="G22" s="5"/>
      <c r="H22" s="1" t="s">
        <v>57</v>
      </c>
      <c r="I22" s="1"/>
      <c r="J22" s="1" t="s">
        <v>57</v>
      </c>
      <c r="K22" s="5"/>
      <c r="L22" s="1" t="s">
        <v>57</v>
      </c>
      <c r="M22" s="5"/>
      <c r="N22" s="1" t="s">
        <v>57</v>
      </c>
      <c r="O22" s="5"/>
      <c r="P22" s="1" t="s">
        <v>57</v>
      </c>
      <c r="Q22" s="5">
        <v>75</v>
      </c>
      <c r="R22" s="1" t="s">
        <v>57</v>
      </c>
      <c r="S22" s="22"/>
      <c r="T22" s="27">
        <f t="shared" si="0"/>
        <v>75</v>
      </c>
      <c r="U22" s="1" t="s">
        <v>57</v>
      </c>
    </row>
    <row r="23" spans="2:21" x14ac:dyDescent="0.2">
      <c r="B23" s="1" t="s">
        <v>58</v>
      </c>
      <c r="C23" s="5"/>
      <c r="D23" s="1" t="s">
        <v>58</v>
      </c>
      <c r="E23" s="5"/>
      <c r="F23" s="1" t="s">
        <v>58</v>
      </c>
      <c r="G23" s="5"/>
      <c r="H23" s="1" t="s">
        <v>58</v>
      </c>
      <c r="I23" s="1"/>
      <c r="J23" s="1" t="s">
        <v>58</v>
      </c>
      <c r="K23" s="5"/>
      <c r="L23" s="1" t="s">
        <v>58</v>
      </c>
      <c r="M23" s="5"/>
      <c r="N23" s="1" t="s">
        <v>58</v>
      </c>
      <c r="O23" s="5"/>
      <c r="P23" s="1" t="s">
        <v>58</v>
      </c>
      <c r="Q23" s="5"/>
      <c r="R23" s="1" t="s">
        <v>58</v>
      </c>
      <c r="S23" s="22"/>
      <c r="T23" s="27">
        <f t="shared" si="0"/>
        <v>0</v>
      </c>
      <c r="U23" s="1" t="s">
        <v>58</v>
      </c>
    </row>
    <row r="24" spans="2:21" x14ac:dyDescent="0.2">
      <c r="B24" s="1" t="s">
        <v>59</v>
      </c>
      <c r="C24" s="5"/>
      <c r="D24" s="1" t="s">
        <v>59</v>
      </c>
      <c r="E24" s="5"/>
      <c r="F24" s="1" t="s">
        <v>59</v>
      </c>
      <c r="G24" s="5"/>
      <c r="H24" s="1" t="s">
        <v>59</v>
      </c>
      <c r="I24" s="1"/>
      <c r="J24" s="1" t="s">
        <v>59</v>
      </c>
      <c r="K24" s="5"/>
      <c r="L24" s="1" t="s">
        <v>59</v>
      </c>
      <c r="M24" s="5"/>
      <c r="N24" s="1" t="s">
        <v>59</v>
      </c>
      <c r="O24" s="5"/>
      <c r="P24" s="1" t="s">
        <v>59</v>
      </c>
      <c r="Q24" s="5"/>
      <c r="R24" s="1" t="s">
        <v>59</v>
      </c>
      <c r="S24" s="22"/>
      <c r="T24" s="27">
        <f t="shared" si="0"/>
        <v>0</v>
      </c>
      <c r="U24" s="1" t="s">
        <v>59</v>
      </c>
    </row>
    <row r="25" spans="2:21" x14ac:dyDescent="0.2">
      <c r="B25" s="1" t="s">
        <v>60</v>
      </c>
      <c r="C25" s="5"/>
      <c r="D25" s="1" t="s">
        <v>60</v>
      </c>
      <c r="E25" s="5"/>
      <c r="F25" s="1" t="s">
        <v>60</v>
      </c>
      <c r="G25" s="5"/>
      <c r="H25" s="1" t="s">
        <v>60</v>
      </c>
      <c r="I25" s="1"/>
      <c r="J25" s="1" t="s">
        <v>60</v>
      </c>
      <c r="K25" s="5"/>
      <c r="L25" s="1" t="s">
        <v>60</v>
      </c>
      <c r="M25" s="5"/>
      <c r="N25" s="1" t="s">
        <v>60</v>
      </c>
      <c r="O25" s="5">
        <v>60</v>
      </c>
      <c r="P25" s="1" t="s">
        <v>60</v>
      </c>
      <c r="Q25" s="5"/>
      <c r="R25" s="1" t="s">
        <v>60</v>
      </c>
      <c r="S25" s="22"/>
      <c r="T25" s="27">
        <f t="shared" si="0"/>
        <v>60</v>
      </c>
      <c r="U25" s="1" t="s">
        <v>60</v>
      </c>
    </row>
    <row r="26" spans="2:21" x14ac:dyDescent="0.2">
      <c r="B26" s="1" t="s">
        <v>61</v>
      </c>
      <c r="C26" s="5"/>
      <c r="D26" s="1" t="s">
        <v>61</v>
      </c>
      <c r="E26" s="5"/>
      <c r="F26" s="1" t="s">
        <v>61</v>
      </c>
      <c r="G26" s="5"/>
      <c r="H26" s="1" t="s">
        <v>61</v>
      </c>
      <c r="I26" s="1"/>
      <c r="J26" s="1" t="s">
        <v>61</v>
      </c>
      <c r="K26" s="5"/>
      <c r="L26" s="1" t="s">
        <v>61</v>
      </c>
      <c r="M26" s="5"/>
      <c r="N26" s="1" t="s">
        <v>61</v>
      </c>
      <c r="O26" s="5"/>
      <c r="P26" s="1" t="s">
        <v>61</v>
      </c>
      <c r="Q26" s="5"/>
      <c r="R26" s="1" t="s">
        <v>61</v>
      </c>
      <c r="S26" s="22"/>
      <c r="T26" s="27">
        <f t="shared" si="0"/>
        <v>0</v>
      </c>
      <c r="U26" s="1" t="s">
        <v>61</v>
      </c>
    </row>
    <row r="27" spans="2:21" x14ac:dyDescent="0.2">
      <c r="B27" s="1" t="s">
        <v>62</v>
      </c>
      <c r="C27" s="5"/>
      <c r="D27" s="1" t="s">
        <v>62</v>
      </c>
      <c r="E27" s="5"/>
      <c r="F27" s="1" t="s">
        <v>62</v>
      </c>
      <c r="G27" s="5"/>
      <c r="H27" s="1" t="s">
        <v>62</v>
      </c>
      <c r="I27" s="1"/>
      <c r="J27" s="1" t="s">
        <v>62</v>
      </c>
      <c r="K27" s="5"/>
      <c r="L27" s="1" t="s">
        <v>62</v>
      </c>
      <c r="M27" s="5"/>
      <c r="N27" s="1" t="s">
        <v>62</v>
      </c>
      <c r="O27" s="5"/>
      <c r="P27" s="1" t="s">
        <v>62</v>
      </c>
      <c r="Q27" s="5"/>
      <c r="R27" s="1" t="s">
        <v>62</v>
      </c>
      <c r="S27" s="22"/>
      <c r="T27" s="27">
        <f t="shared" si="0"/>
        <v>0</v>
      </c>
      <c r="U27" s="1" t="s">
        <v>62</v>
      </c>
    </row>
    <row r="28" spans="2:21" x14ac:dyDescent="0.2">
      <c r="B28" s="1" t="s">
        <v>63</v>
      </c>
      <c r="C28" s="5"/>
      <c r="D28" s="1" t="s">
        <v>63</v>
      </c>
      <c r="E28" s="5">
        <v>1</v>
      </c>
      <c r="F28" s="1" t="s">
        <v>63</v>
      </c>
      <c r="G28" s="5">
        <v>3</v>
      </c>
      <c r="H28" s="1" t="s">
        <v>63</v>
      </c>
      <c r="I28" s="1"/>
      <c r="J28" s="1" t="s">
        <v>63</v>
      </c>
      <c r="K28" s="5"/>
      <c r="L28" s="1" t="s">
        <v>63</v>
      </c>
      <c r="M28" s="5">
        <v>1</v>
      </c>
      <c r="N28" s="1" t="s">
        <v>63</v>
      </c>
      <c r="O28" s="5">
        <v>3</v>
      </c>
      <c r="P28" s="1" t="s">
        <v>63</v>
      </c>
      <c r="Q28" s="5"/>
      <c r="R28" s="1" t="s">
        <v>63</v>
      </c>
      <c r="S28" s="22"/>
      <c r="T28" s="27">
        <f t="shared" si="0"/>
        <v>8</v>
      </c>
      <c r="U28" s="1" t="s">
        <v>63</v>
      </c>
    </row>
    <row r="29" spans="2:21" x14ac:dyDescent="0.2">
      <c r="B29" s="1" t="s">
        <v>64</v>
      </c>
      <c r="C29" s="5"/>
      <c r="D29" s="1" t="s">
        <v>64</v>
      </c>
      <c r="E29" s="5"/>
      <c r="F29" s="1" t="s">
        <v>64</v>
      </c>
      <c r="G29" s="5"/>
      <c r="H29" s="1" t="s">
        <v>64</v>
      </c>
      <c r="I29" s="1"/>
      <c r="J29" s="1" t="s">
        <v>64</v>
      </c>
      <c r="K29" s="5"/>
      <c r="L29" s="1" t="s">
        <v>64</v>
      </c>
      <c r="M29" s="5"/>
      <c r="N29" s="1" t="s">
        <v>64</v>
      </c>
      <c r="O29" s="5"/>
      <c r="P29" s="1" t="s">
        <v>64</v>
      </c>
      <c r="Q29" s="5"/>
      <c r="R29" s="1" t="s">
        <v>64</v>
      </c>
      <c r="S29" s="22"/>
      <c r="T29" s="27">
        <f t="shared" si="0"/>
        <v>0</v>
      </c>
      <c r="U29" s="1" t="s">
        <v>64</v>
      </c>
    </row>
    <row r="30" spans="2:21" x14ac:dyDescent="0.2">
      <c r="B30" s="1" t="s">
        <v>65</v>
      </c>
      <c r="C30" s="5"/>
      <c r="D30" s="1" t="s">
        <v>65</v>
      </c>
      <c r="E30" s="5"/>
      <c r="F30" s="1" t="s">
        <v>65</v>
      </c>
      <c r="G30" s="5"/>
      <c r="H30" s="1" t="s">
        <v>65</v>
      </c>
      <c r="I30" s="1"/>
      <c r="J30" s="1" t="s">
        <v>65</v>
      </c>
      <c r="K30" s="5"/>
      <c r="L30" s="1" t="s">
        <v>65</v>
      </c>
      <c r="M30" s="5"/>
      <c r="N30" s="1" t="s">
        <v>65</v>
      </c>
      <c r="O30" s="5"/>
      <c r="P30" s="1" t="s">
        <v>65</v>
      </c>
      <c r="Q30" s="5"/>
      <c r="R30" s="1" t="s">
        <v>65</v>
      </c>
      <c r="S30" s="22"/>
      <c r="T30" s="27">
        <f t="shared" si="0"/>
        <v>0</v>
      </c>
      <c r="U30" s="1" t="s">
        <v>65</v>
      </c>
    </row>
    <row r="31" spans="2:21" x14ac:dyDescent="0.2">
      <c r="B31" s="1" t="s">
        <v>66</v>
      </c>
      <c r="C31" s="5"/>
      <c r="D31" s="1" t="s">
        <v>66</v>
      </c>
      <c r="E31" s="5"/>
      <c r="F31" s="1" t="s">
        <v>66</v>
      </c>
      <c r="G31" s="5"/>
      <c r="H31" s="1" t="s">
        <v>66</v>
      </c>
      <c r="I31" s="1"/>
      <c r="J31" s="1" t="s">
        <v>66</v>
      </c>
      <c r="K31" s="5"/>
      <c r="L31" s="1" t="s">
        <v>66</v>
      </c>
      <c r="M31" s="5"/>
      <c r="N31" s="1" t="s">
        <v>66</v>
      </c>
      <c r="O31" s="5">
        <v>20</v>
      </c>
      <c r="P31" s="1" t="s">
        <v>66</v>
      </c>
      <c r="Q31" s="5"/>
      <c r="R31" s="1" t="s">
        <v>66</v>
      </c>
      <c r="S31" s="22"/>
      <c r="T31" s="27">
        <f t="shared" si="0"/>
        <v>20</v>
      </c>
      <c r="U31" s="1" t="s">
        <v>66</v>
      </c>
    </row>
    <row r="32" spans="2:21" x14ac:dyDescent="0.2">
      <c r="B32" s="1" t="s">
        <v>67</v>
      </c>
      <c r="C32" s="5"/>
      <c r="D32" s="1" t="s">
        <v>67</v>
      </c>
      <c r="E32" s="5"/>
      <c r="F32" s="1" t="s">
        <v>67</v>
      </c>
      <c r="G32" s="5"/>
      <c r="H32" s="1" t="s">
        <v>67</v>
      </c>
      <c r="I32" s="1"/>
      <c r="J32" s="1" t="s">
        <v>67</v>
      </c>
      <c r="K32" s="5">
        <v>60</v>
      </c>
      <c r="L32" s="1" t="s">
        <v>67</v>
      </c>
      <c r="M32" s="5"/>
      <c r="N32" s="1" t="s">
        <v>67</v>
      </c>
      <c r="O32" s="5">
        <v>150</v>
      </c>
      <c r="P32" s="1" t="s">
        <v>67</v>
      </c>
      <c r="Q32" s="5"/>
      <c r="R32" s="1" t="s">
        <v>67</v>
      </c>
      <c r="S32" s="22"/>
      <c r="T32" s="27">
        <f t="shared" si="0"/>
        <v>210</v>
      </c>
      <c r="U32" s="1" t="s">
        <v>67</v>
      </c>
    </row>
    <row r="33" spans="2:21" x14ac:dyDescent="0.2">
      <c r="B33" s="1" t="s">
        <v>68</v>
      </c>
      <c r="C33" s="5"/>
      <c r="D33" s="1" t="s">
        <v>68</v>
      </c>
      <c r="E33" s="5"/>
      <c r="F33" s="1" t="s">
        <v>68</v>
      </c>
      <c r="G33" s="5"/>
      <c r="H33" s="1" t="s">
        <v>68</v>
      </c>
      <c r="I33" s="1"/>
      <c r="J33" s="1" t="s">
        <v>68</v>
      </c>
      <c r="K33" s="5">
        <v>5</v>
      </c>
      <c r="L33" s="1" t="s">
        <v>68</v>
      </c>
      <c r="M33" s="5"/>
      <c r="N33" s="1" t="s">
        <v>68</v>
      </c>
      <c r="O33" s="5"/>
      <c r="P33" s="1" t="s">
        <v>68</v>
      </c>
      <c r="Q33" s="5"/>
      <c r="R33" s="1" t="s">
        <v>68</v>
      </c>
      <c r="S33" s="22"/>
      <c r="T33" s="27">
        <f t="shared" si="0"/>
        <v>5</v>
      </c>
      <c r="U33" s="1" t="s">
        <v>68</v>
      </c>
    </row>
    <row r="34" spans="2:21" x14ac:dyDescent="0.2">
      <c r="B34" s="1" t="s">
        <v>69</v>
      </c>
      <c r="C34" s="5">
        <v>50</v>
      </c>
      <c r="D34" s="1" t="s">
        <v>69</v>
      </c>
      <c r="E34" s="5">
        <v>50</v>
      </c>
      <c r="F34" s="1" t="s">
        <v>69</v>
      </c>
      <c r="G34" s="5"/>
      <c r="H34" s="1" t="s">
        <v>69</v>
      </c>
      <c r="I34" s="1"/>
      <c r="J34" s="1" t="s">
        <v>69</v>
      </c>
      <c r="K34" s="5">
        <v>150</v>
      </c>
      <c r="L34" s="1" t="s">
        <v>69</v>
      </c>
      <c r="M34" s="5">
        <v>20</v>
      </c>
      <c r="N34" s="1" t="s">
        <v>69</v>
      </c>
      <c r="O34" s="5">
        <v>300</v>
      </c>
      <c r="P34" s="1" t="s">
        <v>69</v>
      </c>
      <c r="Q34" s="5"/>
      <c r="R34" s="1" t="s">
        <v>69</v>
      </c>
      <c r="S34" s="22"/>
      <c r="T34" s="27">
        <f t="shared" si="0"/>
        <v>570</v>
      </c>
      <c r="U34" s="1" t="s">
        <v>69</v>
      </c>
    </row>
    <row r="35" spans="2:21" x14ac:dyDescent="0.2">
      <c r="B35" s="1" t="s">
        <v>70</v>
      </c>
      <c r="C35" s="5"/>
      <c r="D35" s="1" t="s">
        <v>70</v>
      </c>
      <c r="E35" s="5"/>
      <c r="F35" s="1" t="s">
        <v>70</v>
      </c>
      <c r="G35" s="5"/>
      <c r="H35" s="1" t="s">
        <v>70</v>
      </c>
      <c r="I35" s="1"/>
      <c r="J35" s="1" t="s">
        <v>70</v>
      </c>
      <c r="K35" s="5"/>
      <c r="L35" s="1" t="s">
        <v>70</v>
      </c>
      <c r="M35" s="5"/>
      <c r="N35" s="1" t="s">
        <v>70</v>
      </c>
      <c r="O35" s="5"/>
      <c r="P35" s="1" t="s">
        <v>70</v>
      </c>
      <c r="Q35" s="5"/>
      <c r="R35" s="1" t="s">
        <v>70</v>
      </c>
      <c r="S35" s="22"/>
      <c r="T35" s="27">
        <f t="shared" si="0"/>
        <v>0</v>
      </c>
      <c r="U35" s="1" t="s">
        <v>70</v>
      </c>
    </row>
    <row r="36" spans="2:21" x14ac:dyDescent="0.2">
      <c r="B36" s="1" t="s">
        <v>71</v>
      </c>
      <c r="C36" s="5">
        <v>40</v>
      </c>
      <c r="D36" s="1" t="s">
        <v>71</v>
      </c>
      <c r="E36" s="5">
        <v>20</v>
      </c>
      <c r="F36" s="1" t="s">
        <v>71</v>
      </c>
      <c r="G36" s="5">
        <v>20</v>
      </c>
      <c r="H36" s="1" t="s">
        <v>71</v>
      </c>
      <c r="I36" s="1"/>
      <c r="J36" s="1" t="s">
        <v>71</v>
      </c>
      <c r="K36" s="5"/>
      <c r="L36" s="1" t="s">
        <v>71</v>
      </c>
      <c r="M36" s="5"/>
      <c r="N36" s="1" t="s">
        <v>71</v>
      </c>
      <c r="O36" s="5"/>
      <c r="P36" s="1" t="s">
        <v>71</v>
      </c>
      <c r="Q36" s="5">
        <v>20</v>
      </c>
      <c r="R36" s="1" t="s">
        <v>71</v>
      </c>
      <c r="S36" s="22"/>
      <c r="T36" s="27">
        <f t="shared" si="0"/>
        <v>100</v>
      </c>
      <c r="U36" s="1" t="s">
        <v>71</v>
      </c>
    </row>
    <row r="37" spans="2:21" x14ac:dyDescent="0.2">
      <c r="B37" s="1" t="s">
        <v>72</v>
      </c>
      <c r="C37" s="5"/>
      <c r="D37" s="1" t="s">
        <v>72</v>
      </c>
      <c r="E37" s="5"/>
      <c r="F37" s="1" t="s">
        <v>72</v>
      </c>
      <c r="G37" s="5"/>
      <c r="H37" s="1" t="s">
        <v>72</v>
      </c>
      <c r="I37" s="1"/>
      <c r="J37" s="1" t="s">
        <v>72</v>
      </c>
      <c r="K37" s="5"/>
      <c r="L37" s="1" t="s">
        <v>72</v>
      </c>
      <c r="M37" s="5"/>
      <c r="N37" s="1" t="s">
        <v>72</v>
      </c>
      <c r="O37" s="5"/>
      <c r="P37" s="1" t="s">
        <v>72</v>
      </c>
      <c r="Q37" s="5"/>
      <c r="R37" s="1" t="s">
        <v>72</v>
      </c>
      <c r="S37" s="22"/>
      <c r="T37" s="27">
        <f t="shared" si="0"/>
        <v>0</v>
      </c>
      <c r="U37" s="1" t="s">
        <v>72</v>
      </c>
    </row>
    <row r="38" spans="2:21" x14ac:dyDescent="0.2">
      <c r="B38" s="1" t="s">
        <v>73</v>
      </c>
      <c r="C38" s="5">
        <v>355</v>
      </c>
      <c r="D38" s="1" t="s">
        <v>73</v>
      </c>
      <c r="E38" s="5">
        <v>275</v>
      </c>
      <c r="F38" s="1" t="s">
        <v>73</v>
      </c>
      <c r="G38" s="5">
        <v>200</v>
      </c>
      <c r="H38" s="1" t="s">
        <v>73</v>
      </c>
      <c r="I38" s="1"/>
      <c r="J38" s="1" t="s">
        <v>73</v>
      </c>
      <c r="K38" s="5">
        <v>300</v>
      </c>
      <c r="L38" s="1" t="s">
        <v>73</v>
      </c>
      <c r="M38" s="5"/>
      <c r="N38" s="1" t="s">
        <v>73</v>
      </c>
      <c r="O38" s="5">
        <v>200</v>
      </c>
      <c r="P38" s="1" t="s">
        <v>73</v>
      </c>
      <c r="Q38" s="5"/>
      <c r="R38" s="1" t="s">
        <v>73</v>
      </c>
      <c r="S38" s="22"/>
      <c r="T38" s="27">
        <f t="shared" si="0"/>
        <v>1330</v>
      </c>
      <c r="U38" s="1" t="s">
        <v>73</v>
      </c>
    </row>
    <row r="39" spans="2:21" x14ac:dyDescent="0.2">
      <c r="B39" s="1" t="s">
        <v>74</v>
      </c>
      <c r="C39" s="5"/>
      <c r="D39" s="1" t="s">
        <v>74</v>
      </c>
      <c r="E39" s="5"/>
      <c r="F39" s="1" t="s">
        <v>74</v>
      </c>
      <c r="G39" s="5"/>
      <c r="H39" s="1" t="s">
        <v>74</v>
      </c>
      <c r="I39" s="1"/>
      <c r="J39" s="1" t="s">
        <v>74</v>
      </c>
      <c r="K39" s="5">
        <v>10</v>
      </c>
      <c r="L39" s="1" t="s">
        <v>74</v>
      </c>
      <c r="M39" s="5"/>
      <c r="N39" s="1" t="s">
        <v>74</v>
      </c>
      <c r="O39" s="5"/>
      <c r="P39" s="1" t="s">
        <v>74</v>
      </c>
      <c r="Q39" s="5"/>
      <c r="R39" s="1" t="s">
        <v>74</v>
      </c>
      <c r="S39" s="22"/>
      <c r="T39" s="27">
        <f t="shared" si="0"/>
        <v>10</v>
      </c>
      <c r="U39" s="1" t="s">
        <v>74</v>
      </c>
    </row>
    <row r="40" spans="2:21" x14ac:dyDescent="0.2">
      <c r="B40" s="1" t="s">
        <v>75</v>
      </c>
      <c r="C40" s="5">
        <v>120</v>
      </c>
      <c r="D40" s="1" t="s">
        <v>75</v>
      </c>
      <c r="E40" s="5">
        <v>20</v>
      </c>
      <c r="F40" s="1" t="s">
        <v>75</v>
      </c>
      <c r="G40" s="5">
        <v>20</v>
      </c>
      <c r="H40" s="1" t="s">
        <v>75</v>
      </c>
      <c r="I40" s="1"/>
      <c r="J40" s="1" t="s">
        <v>75</v>
      </c>
      <c r="K40" s="5"/>
      <c r="L40" s="1" t="s">
        <v>75</v>
      </c>
      <c r="M40" s="5"/>
      <c r="N40" s="1" t="s">
        <v>75</v>
      </c>
      <c r="O40" s="5">
        <v>40</v>
      </c>
      <c r="P40" s="1" t="s">
        <v>75</v>
      </c>
      <c r="Q40" s="5">
        <v>40</v>
      </c>
      <c r="R40" s="1" t="s">
        <v>75</v>
      </c>
      <c r="S40" s="22"/>
      <c r="T40" s="27">
        <f t="shared" si="0"/>
        <v>240</v>
      </c>
      <c r="U40" s="1" t="s">
        <v>75</v>
      </c>
    </row>
    <row r="41" spans="2:21" x14ac:dyDescent="0.2">
      <c r="B41" s="1" t="s">
        <v>76</v>
      </c>
      <c r="C41" s="5">
        <v>72</v>
      </c>
      <c r="D41" s="1" t="s">
        <v>76</v>
      </c>
      <c r="E41" s="5">
        <v>48</v>
      </c>
      <c r="F41" s="1" t="s">
        <v>76</v>
      </c>
      <c r="G41" s="5">
        <v>120</v>
      </c>
      <c r="H41" s="1" t="s">
        <v>76</v>
      </c>
      <c r="I41" s="1"/>
      <c r="J41" s="1" t="s">
        <v>76</v>
      </c>
      <c r="K41" s="5"/>
      <c r="L41" s="1" t="s">
        <v>76</v>
      </c>
      <c r="M41" s="5">
        <v>72</v>
      </c>
      <c r="N41" s="1" t="s">
        <v>76</v>
      </c>
      <c r="O41" s="5">
        <v>48</v>
      </c>
      <c r="P41" s="1" t="s">
        <v>76</v>
      </c>
      <c r="Q41" s="5">
        <v>48</v>
      </c>
      <c r="R41" s="1" t="s">
        <v>76</v>
      </c>
      <c r="S41" s="22"/>
      <c r="T41" s="27">
        <f t="shared" si="0"/>
        <v>408</v>
      </c>
      <c r="U41" s="1" t="s">
        <v>76</v>
      </c>
    </row>
    <row r="42" spans="2:21" x14ac:dyDescent="0.2">
      <c r="B42" s="1" t="s">
        <v>77</v>
      </c>
      <c r="C42" s="5">
        <v>18</v>
      </c>
      <c r="D42" s="1" t="s">
        <v>77</v>
      </c>
      <c r="E42" s="5"/>
      <c r="F42" s="1" t="s">
        <v>77</v>
      </c>
      <c r="G42" s="5">
        <v>24</v>
      </c>
      <c r="H42" s="1" t="s">
        <v>77</v>
      </c>
      <c r="I42" s="1"/>
      <c r="J42" s="1" t="s">
        <v>77</v>
      </c>
      <c r="K42" s="5"/>
      <c r="L42" s="1" t="s">
        <v>77</v>
      </c>
      <c r="M42" s="5">
        <v>24</v>
      </c>
      <c r="N42" s="1" t="s">
        <v>77</v>
      </c>
      <c r="O42" s="5"/>
      <c r="P42" s="1" t="s">
        <v>77</v>
      </c>
      <c r="Q42" s="5"/>
      <c r="R42" s="1" t="s">
        <v>77</v>
      </c>
      <c r="S42" s="22"/>
      <c r="T42" s="27">
        <f t="shared" si="0"/>
        <v>66</v>
      </c>
      <c r="U42" s="1" t="s">
        <v>77</v>
      </c>
    </row>
    <row r="43" spans="2:21" x14ac:dyDescent="0.2">
      <c r="B43" s="1" t="s">
        <v>78</v>
      </c>
      <c r="C43" s="5">
        <v>42</v>
      </c>
      <c r="D43" s="1" t="s">
        <v>78</v>
      </c>
      <c r="E43" s="5"/>
      <c r="F43" s="1" t="s">
        <v>78</v>
      </c>
      <c r="G43" s="5">
        <v>48</v>
      </c>
      <c r="H43" s="1" t="s">
        <v>78</v>
      </c>
      <c r="I43" s="1"/>
      <c r="J43" s="1" t="s">
        <v>78</v>
      </c>
      <c r="K43" s="5"/>
      <c r="L43" s="1" t="s">
        <v>78</v>
      </c>
      <c r="M43" s="5">
        <v>24</v>
      </c>
      <c r="N43" s="1" t="s">
        <v>78</v>
      </c>
      <c r="O43" s="5"/>
      <c r="P43" s="1" t="s">
        <v>78</v>
      </c>
      <c r="Q43" s="5">
        <v>24</v>
      </c>
      <c r="R43" s="1" t="s">
        <v>78</v>
      </c>
      <c r="S43" s="22"/>
      <c r="T43" s="27">
        <f t="shared" si="0"/>
        <v>138</v>
      </c>
      <c r="U43" s="1" t="s">
        <v>78</v>
      </c>
    </row>
    <row r="44" spans="2:21" x14ac:dyDescent="0.2">
      <c r="B44" s="1" t="s">
        <v>79</v>
      </c>
      <c r="C44" s="5">
        <v>10</v>
      </c>
      <c r="D44" s="1" t="s">
        <v>79</v>
      </c>
      <c r="E44" s="5">
        <v>15</v>
      </c>
      <c r="F44" s="1" t="s">
        <v>79</v>
      </c>
      <c r="G44" s="5"/>
      <c r="H44" s="1" t="s">
        <v>79</v>
      </c>
      <c r="I44" s="1"/>
      <c r="J44" s="1" t="s">
        <v>79</v>
      </c>
      <c r="K44" s="5"/>
      <c r="L44" s="1" t="s">
        <v>79</v>
      </c>
      <c r="M44" s="5"/>
      <c r="N44" s="1" t="s">
        <v>79</v>
      </c>
      <c r="O44" s="5"/>
      <c r="P44" s="1" t="s">
        <v>79</v>
      </c>
      <c r="Q44" s="5">
        <v>10</v>
      </c>
      <c r="R44" s="1" t="s">
        <v>79</v>
      </c>
      <c r="S44" s="22"/>
      <c r="T44" s="27">
        <f t="shared" si="0"/>
        <v>35</v>
      </c>
      <c r="U44" s="1" t="s">
        <v>79</v>
      </c>
    </row>
    <row r="45" spans="2:21" x14ac:dyDescent="0.2">
      <c r="B45" s="1" t="s">
        <v>80</v>
      </c>
      <c r="C45" s="5"/>
      <c r="D45" s="1" t="s">
        <v>80</v>
      </c>
      <c r="E45" s="5"/>
      <c r="F45" s="1" t="s">
        <v>80</v>
      </c>
      <c r="G45" s="5"/>
      <c r="H45" s="1" t="s">
        <v>80</v>
      </c>
      <c r="I45" s="1"/>
      <c r="J45" s="1" t="s">
        <v>80</v>
      </c>
      <c r="K45" s="5"/>
      <c r="L45" s="1" t="s">
        <v>80</v>
      </c>
      <c r="M45" s="5"/>
      <c r="N45" s="1" t="s">
        <v>80</v>
      </c>
      <c r="O45" s="5"/>
      <c r="P45" s="1" t="s">
        <v>80</v>
      </c>
      <c r="Q45" s="5"/>
      <c r="R45" s="1" t="s">
        <v>80</v>
      </c>
      <c r="S45" s="22"/>
      <c r="T45" s="27">
        <f t="shared" si="0"/>
        <v>0</v>
      </c>
      <c r="U45" s="1" t="s">
        <v>80</v>
      </c>
    </row>
    <row r="46" spans="2:21" x14ac:dyDescent="0.2">
      <c r="B46" s="1" t="s">
        <v>81</v>
      </c>
      <c r="C46" s="5">
        <v>2</v>
      </c>
      <c r="D46" s="1" t="s">
        <v>81</v>
      </c>
      <c r="E46" s="5"/>
      <c r="F46" s="1" t="s">
        <v>81</v>
      </c>
      <c r="G46" s="5"/>
      <c r="H46" s="1" t="s">
        <v>81</v>
      </c>
      <c r="I46" s="1"/>
      <c r="J46" s="1" t="s">
        <v>81</v>
      </c>
      <c r="K46" s="5"/>
      <c r="L46" s="1" t="s">
        <v>81</v>
      </c>
      <c r="M46" s="5"/>
      <c r="N46" s="1" t="s">
        <v>81</v>
      </c>
      <c r="O46" s="5"/>
      <c r="P46" s="1" t="s">
        <v>81</v>
      </c>
      <c r="Q46" s="5"/>
      <c r="R46" s="1" t="s">
        <v>81</v>
      </c>
      <c r="S46" s="22"/>
      <c r="T46" s="27">
        <f t="shared" si="0"/>
        <v>2</v>
      </c>
      <c r="U46" s="1" t="s">
        <v>81</v>
      </c>
    </row>
    <row r="47" spans="2:21" x14ac:dyDescent="0.2">
      <c r="B47" s="1" t="s">
        <v>82</v>
      </c>
      <c r="C47" s="5"/>
      <c r="D47" s="1" t="s">
        <v>82</v>
      </c>
      <c r="E47" s="5"/>
      <c r="F47" s="1" t="s">
        <v>82</v>
      </c>
      <c r="G47" s="5"/>
      <c r="H47" s="1" t="s">
        <v>82</v>
      </c>
      <c r="I47" s="1"/>
      <c r="J47" s="1" t="s">
        <v>82</v>
      </c>
      <c r="K47" s="5"/>
      <c r="L47" s="1" t="s">
        <v>82</v>
      </c>
      <c r="M47" s="5"/>
      <c r="N47" s="1" t="s">
        <v>82</v>
      </c>
      <c r="O47" s="5"/>
      <c r="P47" s="1" t="s">
        <v>82</v>
      </c>
      <c r="Q47" s="5"/>
      <c r="R47" s="1" t="s">
        <v>82</v>
      </c>
      <c r="S47" s="22"/>
      <c r="T47" s="27">
        <f t="shared" si="0"/>
        <v>0</v>
      </c>
      <c r="U47" s="1" t="s">
        <v>82</v>
      </c>
    </row>
    <row r="48" spans="2:21" x14ac:dyDescent="0.2">
      <c r="B48" s="1" t="s">
        <v>83</v>
      </c>
      <c r="C48" s="5"/>
      <c r="D48" s="1" t="s">
        <v>83</v>
      </c>
      <c r="E48" s="5">
        <v>100</v>
      </c>
      <c r="F48" s="1" t="s">
        <v>83</v>
      </c>
      <c r="G48" s="5"/>
      <c r="H48" s="1" t="s">
        <v>83</v>
      </c>
      <c r="I48" s="1"/>
      <c r="J48" s="1" t="s">
        <v>83</v>
      </c>
      <c r="K48" s="5"/>
      <c r="L48" s="1" t="s">
        <v>83</v>
      </c>
      <c r="M48" s="5"/>
      <c r="N48" s="1" t="s">
        <v>83</v>
      </c>
      <c r="O48" s="5"/>
      <c r="P48" s="1" t="s">
        <v>83</v>
      </c>
      <c r="Q48" s="5">
        <v>50</v>
      </c>
      <c r="R48" s="1" t="s">
        <v>83</v>
      </c>
      <c r="S48" s="22"/>
      <c r="T48" s="27">
        <f t="shared" si="0"/>
        <v>150</v>
      </c>
      <c r="U48" s="1" t="s">
        <v>83</v>
      </c>
    </row>
    <row r="49" spans="2:21" x14ac:dyDescent="0.2">
      <c r="B49" s="1" t="s">
        <v>84</v>
      </c>
      <c r="C49" s="5"/>
      <c r="D49" s="1" t="s">
        <v>84</v>
      </c>
      <c r="E49" s="5"/>
      <c r="F49" s="1" t="s">
        <v>84</v>
      </c>
      <c r="G49" s="5"/>
      <c r="H49" s="1" t="s">
        <v>84</v>
      </c>
      <c r="I49" s="1"/>
      <c r="J49" s="1" t="s">
        <v>84</v>
      </c>
      <c r="K49" s="5"/>
      <c r="L49" s="1" t="s">
        <v>84</v>
      </c>
      <c r="M49" s="5"/>
      <c r="N49" s="1" t="s">
        <v>84</v>
      </c>
      <c r="O49" s="5"/>
      <c r="P49" s="1" t="s">
        <v>84</v>
      </c>
      <c r="Q49" s="5"/>
      <c r="R49" s="1" t="s">
        <v>84</v>
      </c>
      <c r="S49" s="22"/>
      <c r="T49" s="27">
        <f t="shared" si="0"/>
        <v>0</v>
      </c>
      <c r="U49" s="1" t="s">
        <v>84</v>
      </c>
    </row>
    <row r="50" spans="2:21" x14ac:dyDescent="0.2">
      <c r="B50" s="1" t="s">
        <v>85</v>
      </c>
      <c r="C50" s="5"/>
      <c r="D50" s="1" t="s">
        <v>85</v>
      </c>
      <c r="E50" s="5"/>
      <c r="F50" s="1" t="s">
        <v>85</v>
      </c>
      <c r="G50" s="5"/>
      <c r="H50" s="1" t="s">
        <v>85</v>
      </c>
      <c r="I50" s="1"/>
      <c r="J50" s="1" t="s">
        <v>85</v>
      </c>
      <c r="K50" s="5">
        <v>1</v>
      </c>
      <c r="L50" s="1" t="s">
        <v>85</v>
      </c>
      <c r="M50" s="5">
        <v>1</v>
      </c>
      <c r="N50" s="1" t="s">
        <v>85</v>
      </c>
      <c r="O50" s="5"/>
      <c r="P50" s="1" t="s">
        <v>85</v>
      </c>
      <c r="Q50" s="5">
        <v>1</v>
      </c>
      <c r="R50" s="1" t="s">
        <v>85</v>
      </c>
      <c r="S50" s="22"/>
      <c r="T50" s="27">
        <f t="shared" si="0"/>
        <v>3</v>
      </c>
      <c r="U50" s="1" t="s">
        <v>85</v>
      </c>
    </row>
    <row r="51" spans="2:21" x14ac:dyDescent="0.2">
      <c r="B51" s="1" t="s">
        <v>86</v>
      </c>
      <c r="C51" s="5">
        <v>6</v>
      </c>
      <c r="D51" s="1" t="s">
        <v>86</v>
      </c>
      <c r="E51" s="5">
        <v>8</v>
      </c>
      <c r="F51" s="1" t="s">
        <v>86</v>
      </c>
      <c r="G51" s="5">
        <v>1</v>
      </c>
      <c r="H51" s="1" t="s">
        <v>86</v>
      </c>
      <c r="I51" s="1"/>
      <c r="J51" s="1" t="s">
        <v>86</v>
      </c>
      <c r="K51" s="5"/>
      <c r="L51" s="1" t="s">
        <v>86</v>
      </c>
      <c r="M51" s="5">
        <v>3</v>
      </c>
      <c r="N51" s="1" t="s">
        <v>86</v>
      </c>
      <c r="O51" s="5"/>
      <c r="P51" s="1" t="s">
        <v>86</v>
      </c>
      <c r="Q51" s="5">
        <v>2</v>
      </c>
      <c r="R51" s="1" t="s">
        <v>86</v>
      </c>
      <c r="S51" s="22"/>
      <c r="T51" s="27">
        <f t="shared" si="0"/>
        <v>20</v>
      </c>
      <c r="U51" s="1" t="s">
        <v>86</v>
      </c>
    </row>
    <row r="52" spans="2:21" x14ac:dyDescent="0.2">
      <c r="B52" s="1" t="s">
        <v>143</v>
      </c>
      <c r="C52" s="5"/>
      <c r="D52" s="1" t="s">
        <v>143</v>
      </c>
      <c r="E52" s="5"/>
      <c r="F52" s="1" t="s">
        <v>143</v>
      </c>
      <c r="G52" s="5"/>
      <c r="H52" s="1" t="s">
        <v>143</v>
      </c>
      <c r="I52" s="1"/>
      <c r="J52" s="1" t="s">
        <v>143</v>
      </c>
      <c r="K52" s="5"/>
      <c r="L52" s="1" t="s">
        <v>143</v>
      </c>
      <c r="M52" s="5">
        <v>1</v>
      </c>
      <c r="N52" s="1" t="s">
        <v>143</v>
      </c>
      <c r="O52" s="5"/>
      <c r="P52" s="1" t="s">
        <v>143</v>
      </c>
      <c r="Q52" s="5"/>
      <c r="R52" s="1" t="s">
        <v>143</v>
      </c>
      <c r="S52" s="22"/>
      <c r="T52" s="27">
        <f t="shared" si="0"/>
        <v>1</v>
      </c>
      <c r="U52" s="1" t="s">
        <v>143</v>
      </c>
    </row>
    <row r="53" spans="2:21" x14ac:dyDescent="0.2">
      <c r="B53" s="1" t="s">
        <v>88</v>
      </c>
      <c r="C53" s="5">
        <v>90</v>
      </c>
      <c r="D53" s="1" t="s">
        <v>88</v>
      </c>
      <c r="E53" s="5">
        <v>170</v>
      </c>
      <c r="F53" s="1" t="s">
        <v>88</v>
      </c>
      <c r="G53" s="5"/>
      <c r="H53" s="1" t="s">
        <v>88</v>
      </c>
      <c r="I53" s="1"/>
      <c r="J53" s="1" t="s">
        <v>88</v>
      </c>
      <c r="K53" s="5"/>
      <c r="L53" s="1" t="s">
        <v>88</v>
      </c>
      <c r="M53" s="5"/>
      <c r="N53" s="1" t="s">
        <v>88</v>
      </c>
      <c r="O53" s="5"/>
      <c r="P53" s="1" t="s">
        <v>88</v>
      </c>
      <c r="Q53" s="5">
        <v>30</v>
      </c>
      <c r="R53" s="1" t="s">
        <v>88</v>
      </c>
      <c r="S53" s="22"/>
      <c r="T53" s="27">
        <f t="shared" si="0"/>
        <v>290</v>
      </c>
      <c r="U53" s="1" t="s">
        <v>88</v>
      </c>
    </row>
    <row r="54" spans="2:21" x14ac:dyDescent="0.2">
      <c r="B54" s="1" t="s">
        <v>89</v>
      </c>
      <c r="C54" s="5"/>
      <c r="D54" s="1" t="s">
        <v>89</v>
      </c>
      <c r="E54" s="5"/>
      <c r="F54" s="1" t="s">
        <v>89</v>
      </c>
      <c r="G54" s="5"/>
      <c r="H54" s="1" t="s">
        <v>89</v>
      </c>
      <c r="I54" s="1"/>
      <c r="J54" s="1" t="s">
        <v>89</v>
      </c>
      <c r="K54" s="5"/>
      <c r="L54" s="1" t="s">
        <v>89</v>
      </c>
      <c r="M54" s="5"/>
      <c r="N54" s="1" t="s">
        <v>89</v>
      </c>
      <c r="O54" s="5"/>
      <c r="P54" s="1" t="s">
        <v>89</v>
      </c>
      <c r="Q54" s="5"/>
      <c r="R54" s="1" t="s">
        <v>89</v>
      </c>
      <c r="S54" s="22"/>
      <c r="T54" s="27">
        <f t="shared" si="0"/>
        <v>0</v>
      </c>
      <c r="U54" s="1" t="s">
        <v>89</v>
      </c>
    </row>
    <row r="55" spans="2:21" x14ac:dyDescent="0.2">
      <c r="B55" s="1" t="s">
        <v>90</v>
      </c>
      <c r="C55" s="5"/>
      <c r="D55" s="1" t="s">
        <v>90</v>
      </c>
      <c r="E55" s="5"/>
      <c r="F55" s="1" t="s">
        <v>90</v>
      </c>
      <c r="G55" s="5"/>
      <c r="H55" s="1" t="s">
        <v>90</v>
      </c>
      <c r="I55" s="1"/>
      <c r="J55" s="1" t="s">
        <v>90</v>
      </c>
      <c r="K55" s="5"/>
      <c r="L55" s="1" t="s">
        <v>90</v>
      </c>
      <c r="M55" s="5"/>
      <c r="N55" s="1" t="s">
        <v>90</v>
      </c>
      <c r="O55" s="5"/>
      <c r="P55" s="1" t="s">
        <v>90</v>
      </c>
      <c r="Q55" s="5"/>
      <c r="R55" s="1" t="s">
        <v>90</v>
      </c>
      <c r="S55" s="22"/>
      <c r="T55" s="27">
        <f t="shared" si="0"/>
        <v>0</v>
      </c>
      <c r="U55" s="1" t="s">
        <v>90</v>
      </c>
    </row>
    <row r="56" spans="2:21" x14ac:dyDescent="0.2">
      <c r="B56" s="1" t="s">
        <v>91</v>
      </c>
      <c r="C56" s="5">
        <v>12</v>
      </c>
      <c r="D56" s="1" t="s">
        <v>91</v>
      </c>
      <c r="E56" s="5">
        <v>8</v>
      </c>
      <c r="F56" s="1" t="s">
        <v>91</v>
      </c>
      <c r="G56" s="5">
        <v>6</v>
      </c>
      <c r="H56" s="1" t="s">
        <v>91</v>
      </c>
      <c r="I56" s="1"/>
      <c r="J56" s="1" t="s">
        <v>91</v>
      </c>
      <c r="K56" s="5"/>
      <c r="L56" s="1" t="s">
        <v>91</v>
      </c>
      <c r="M56" s="5"/>
      <c r="N56" s="1" t="s">
        <v>91</v>
      </c>
      <c r="O56" s="5"/>
      <c r="P56" s="1" t="s">
        <v>91</v>
      </c>
      <c r="Q56" s="5">
        <v>12</v>
      </c>
      <c r="R56" s="1" t="s">
        <v>91</v>
      </c>
      <c r="S56" s="22"/>
      <c r="T56" s="27">
        <f t="shared" si="0"/>
        <v>38</v>
      </c>
      <c r="U56" s="1" t="s">
        <v>91</v>
      </c>
    </row>
    <row r="57" spans="2:21" x14ac:dyDescent="0.2">
      <c r="B57" s="1" t="s">
        <v>92</v>
      </c>
      <c r="C57" s="5"/>
      <c r="D57" s="1" t="s">
        <v>92</v>
      </c>
      <c r="E57" s="5">
        <v>5</v>
      </c>
      <c r="F57" s="1" t="s">
        <v>92</v>
      </c>
      <c r="G57" s="5"/>
      <c r="H57" s="1" t="s">
        <v>92</v>
      </c>
      <c r="I57" s="1"/>
      <c r="J57" s="1" t="s">
        <v>92</v>
      </c>
      <c r="K57" s="5"/>
      <c r="L57" s="1" t="s">
        <v>92</v>
      </c>
      <c r="M57" s="5"/>
      <c r="N57" s="1" t="s">
        <v>92</v>
      </c>
      <c r="O57" s="5"/>
      <c r="P57" s="1" t="s">
        <v>92</v>
      </c>
      <c r="Q57" s="5"/>
      <c r="R57" s="1" t="s">
        <v>92</v>
      </c>
      <c r="S57" s="22"/>
      <c r="T57" s="27">
        <f t="shared" si="0"/>
        <v>5</v>
      </c>
      <c r="U57" s="1" t="s">
        <v>92</v>
      </c>
    </row>
    <row r="58" spans="2:21" x14ac:dyDescent="0.2">
      <c r="B58" s="1" t="s">
        <v>93</v>
      </c>
      <c r="C58" s="5">
        <v>10</v>
      </c>
      <c r="D58" s="1" t="s">
        <v>93</v>
      </c>
      <c r="E58" s="5">
        <v>20</v>
      </c>
      <c r="F58" s="1" t="s">
        <v>93</v>
      </c>
      <c r="G58" s="5">
        <v>60</v>
      </c>
      <c r="H58" s="1" t="s">
        <v>93</v>
      </c>
      <c r="I58" s="1"/>
      <c r="J58" s="1" t="s">
        <v>93</v>
      </c>
      <c r="K58" s="5"/>
      <c r="L58" s="1" t="s">
        <v>93</v>
      </c>
      <c r="M58" s="5"/>
      <c r="N58" s="1" t="s">
        <v>93</v>
      </c>
      <c r="O58" s="5">
        <v>40</v>
      </c>
      <c r="P58" s="1" t="s">
        <v>93</v>
      </c>
      <c r="Q58" s="5">
        <v>10</v>
      </c>
      <c r="R58" s="1" t="s">
        <v>93</v>
      </c>
      <c r="S58" s="22"/>
      <c r="T58" s="27">
        <f t="shared" si="0"/>
        <v>140</v>
      </c>
      <c r="U58" s="1" t="s">
        <v>93</v>
      </c>
    </row>
    <row r="59" spans="2:21" x14ac:dyDescent="0.2">
      <c r="B59" s="1" t="s">
        <v>94</v>
      </c>
      <c r="C59" s="5">
        <v>10</v>
      </c>
      <c r="D59" s="1" t="s">
        <v>94</v>
      </c>
      <c r="E59" s="5"/>
      <c r="F59" s="1" t="s">
        <v>94</v>
      </c>
      <c r="G59" s="5"/>
      <c r="H59" s="1" t="s">
        <v>94</v>
      </c>
      <c r="I59" s="1"/>
      <c r="J59" s="1" t="s">
        <v>94</v>
      </c>
      <c r="K59" s="5"/>
      <c r="L59" s="1" t="s">
        <v>94</v>
      </c>
      <c r="M59" s="5"/>
      <c r="N59" s="1" t="s">
        <v>94</v>
      </c>
      <c r="O59" s="5"/>
      <c r="P59" s="1" t="s">
        <v>94</v>
      </c>
      <c r="Q59" s="5">
        <v>10</v>
      </c>
      <c r="R59" s="1" t="s">
        <v>94</v>
      </c>
      <c r="S59" s="22"/>
      <c r="T59" s="27">
        <f t="shared" si="0"/>
        <v>20</v>
      </c>
      <c r="U59" s="1" t="s">
        <v>94</v>
      </c>
    </row>
    <row r="60" spans="2:21" x14ac:dyDescent="0.2">
      <c r="B60" s="1" t="s">
        <v>95</v>
      </c>
      <c r="C60" s="5"/>
      <c r="D60" s="1" t="s">
        <v>95</v>
      </c>
      <c r="E60" s="5"/>
      <c r="F60" s="1" t="s">
        <v>95</v>
      </c>
      <c r="G60" s="5"/>
      <c r="H60" s="1" t="s">
        <v>95</v>
      </c>
      <c r="I60" s="1"/>
      <c r="J60" s="1" t="s">
        <v>95</v>
      </c>
      <c r="K60" s="5"/>
      <c r="L60" s="1" t="s">
        <v>95</v>
      </c>
      <c r="M60" s="5"/>
      <c r="N60" s="1" t="s">
        <v>95</v>
      </c>
      <c r="O60" s="5"/>
      <c r="P60" s="1" t="s">
        <v>95</v>
      </c>
      <c r="Q60" s="5"/>
      <c r="R60" s="1" t="s">
        <v>95</v>
      </c>
      <c r="S60" s="22"/>
      <c r="T60" s="27">
        <f t="shared" si="0"/>
        <v>0</v>
      </c>
      <c r="U60" s="1" t="s">
        <v>95</v>
      </c>
    </row>
    <row r="61" spans="2:21" x14ac:dyDescent="0.2">
      <c r="B61" s="1" t="s">
        <v>96</v>
      </c>
      <c r="C61" s="5">
        <v>30</v>
      </c>
      <c r="D61" s="1" t="s">
        <v>96</v>
      </c>
      <c r="E61" s="5"/>
      <c r="F61" s="1" t="s">
        <v>96</v>
      </c>
      <c r="G61" s="5"/>
      <c r="H61" s="1" t="s">
        <v>96</v>
      </c>
      <c r="I61" s="1"/>
      <c r="J61" s="1" t="s">
        <v>96</v>
      </c>
      <c r="K61" s="5"/>
      <c r="L61" s="1" t="s">
        <v>96</v>
      </c>
      <c r="M61" s="5"/>
      <c r="N61" s="1" t="s">
        <v>96</v>
      </c>
      <c r="O61" s="5">
        <v>20</v>
      </c>
      <c r="P61" s="1" t="s">
        <v>96</v>
      </c>
      <c r="Q61" s="5"/>
      <c r="R61" s="1" t="s">
        <v>96</v>
      </c>
      <c r="S61" s="22"/>
      <c r="T61" s="27">
        <f t="shared" si="0"/>
        <v>50</v>
      </c>
      <c r="U61" s="1" t="s">
        <v>96</v>
      </c>
    </row>
    <row r="62" spans="2:21" x14ac:dyDescent="0.2">
      <c r="B62" s="1" t="s">
        <v>97</v>
      </c>
      <c r="C62" s="5"/>
      <c r="D62" s="1" t="s">
        <v>97</v>
      </c>
      <c r="E62" s="5"/>
      <c r="F62" s="1" t="s">
        <v>97</v>
      </c>
      <c r="G62" s="5"/>
      <c r="H62" s="1" t="s">
        <v>97</v>
      </c>
      <c r="I62" s="1"/>
      <c r="J62" s="1" t="s">
        <v>97</v>
      </c>
      <c r="K62" s="5"/>
      <c r="L62" s="1" t="s">
        <v>97</v>
      </c>
      <c r="M62" s="5"/>
      <c r="N62" s="1" t="s">
        <v>97</v>
      </c>
      <c r="O62" s="5"/>
      <c r="P62" s="1" t="s">
        <v>97</v>
      </c>
      <c r="Q62" s="5"/>
      <c r="R62" s="1" t="s">
        <v>97</v>
      </c>
      <c r="S62" s="22"/>
      <c r="T62" s="27">
        <f t="shared" si="0"/>
        <v>0</v>
      </c>
      <c r="U62" s="1" t="s">
        <v>97</v>
      </c>
    </row>
    <row r="63" spans="2:21" x14ac:dyDescent="0.2">
      <c r="B63" s="1" t="s">
        <v>98</v>
      </c>
      <c r="C63" s="5"/>
      <c r="D63" s="1" t="s">
        <v>98</v>
      </c>
      <c r="E63" s="5"/>
      <c r="F63" s="1" t="s">
        <v>98</v>
      </c>
      <c r="G63" s="5"/>
      <c r="H63" s="1" t="s">
        <v>98</v>
      </c>
      <c r="I63" s="1"/>
      <c r="J63" s="1" t="s">
        <v>98</v>
      </c>
      <c r="K63" s="5"/>
      <c r="L63" s="1" t="s">
        <v>98</v>
      </c>
      <c r="M63" s="5"/>
      <c r="N63" s="1" t="s">
        <v>98</v>
      </c>
      <c r="O63" s="5"/>
      <c r="P63" s="1" t="s">
        <v>98</v>
      </c>
      <c r="Q63" s="5"/>
      <c r="R63" s="1" t="s">
        <v>98</v>
      </c>
      <c r="S63" s="22"/>
      <c r="T63" s="27">
        <f t="shared" si="0"/>
        <v>0</v>
      </c>
      <c r="U63" s="1" t="s">
        <v>98</v>
      </c>
    </row>
    <row r="64" spans="2:21" x14ac:dyDescent="0.2">
      <c r="B64" s="1" t="s">
        <v>99</v>
      </c>
      <c r="C64" s="5"/>
      <c r="D64" s="1" t="s">
        <v>99</v>
      </c>
      <c r="E64" s="5">
        <v>50</v>
      </c>
      <c r="F64" s="1" t="s">
        <v>99</v>
      </c>
      <c r="G64" s="5"/>
      <c r="H64" s="1" t="s">
        <v>99</v>
      </c>
      <c r="I64" s="1"/>
      <c r="J64" s="1" t="s">
        <v>99</v>
      </c>
      <c r="K64" s="5"/>
      <c r="L64" s="1" t="s">
        <v>99</v>
      </c>
      <c r="M64" s="5"/>
      <c r="N64" s="1" t="s">
        <v>99</v>
      </c>
      <c r="O64" s="5"/>
      <c r="P64" s="1" t="s">
        <v>99</v>
      </c>
      <c r="Q64" s="5"/>
      <c r="R64" s="1" t="s">
        <v>99</v>
      </c>
      <c r="S64" s="22"/>
      <c r="T64" s="27">
        <f t="shared" si="0"/>
        <v>50</v>
      </c>
      <c r="U64" s="1" t="s">
        <v>99</v>
      </c>
    </row>
    <row r="65" spans="2:21" x14ac:dyDescent="0.2">
      <c r="B65" s="1" t="s">
        <v>100</v>
      </c>
      <c r="C65" s="5"/>
      <c r="D65" s="1" t="s">
        <v>100</v>
      </c>
      <c r="E65" s="5"/>
      <c r="F65" s="1" t="s">
        <v>100</v>
      </c>
      <c r="G65" s="5"/>
      <c r="H65" s="1" t="s">
        <v>100</v>
      </c>
      <c r="I65" s="1"/>
      <c r="J65" s="1" t="s">
        <v>100</v>
      </c>
      <c r="K65" s="5"/>
      <c r="L65" s="1" t="s">
        <v>100</v>
      </c>
      <c r="M65" s="5"/>
      <c r="N65" s="1" t="s">
        <v>100</v>
      </c>
      <c r="O65" s="5"/>
      <c r="P65" s="1" t="s">
        <v>100</v>
      </c>
      <c r="Q65" s="5"/>
      <c r="R65" s="1" t="s">
        <v>100</v>
      </c>
      <c r="S65" s="22"/>
      <c r="T65" s="27">
        <f t="shared" si="0"/>
        <v>0</v>
      </c>
      <c r="U65" s="1" t="s">
        <v>100</v>
      </c>
    </row>
    <row r="66" spans="2:21" x14ac:dyDescent="0.2">
      <c r="B66" s="1" t="s">
        <v>101</v>
      </c>
      <c r="C66" s="5"/>
      <c r="D66" s="1" t="s">
        <v>101</v>
      </c>
      <c r="E66" s="5">
        <v>4</v>
      </c>
      <c r="F66" s="1" t="s">
        <v>101</v>
      </c>
      <c r="G66" s="5">
        <v>10</v>
      </c>
      <c r="H66" s="1" t="s">
        <v>101</v>
      </c>
      <c r="I66" s="1"/>
      <c r="J66" s="1" t="s">
        <v>101</v>
      </c>
      <c r="K66" s="5"/>
      <c r="L66" s="1" t="s">
        <v>101</v>
      </c>
      <c r="M66" s="5">
        <v>20</v>
      </c>
      <c r="N66" s="1" t="s">
        <v>101</v>
      </c>
      <c r="O66" s="5">
        <v>100</v>
      </c>
      <c r="P66" s="1" t="s">
        <v>101</v>
      </c>
      <c r="Q66" s="5"/>
      <c r="R66" s="1" t="s">
        <v>101</v>
      </c>
      <c r="S66" s="22"/>
      <c r="T66" s="27">
        <f t="shared" si="0"/>
        <v>134</v>
      </c>
      <c r="U66" s="1" t="s">
        <v>101</v>
      </c>
    </row>
    <row r="67" spans="2:21" x14ac:dyDescent="0.2">
      <c r="B67" s="1" t="s">
        <v>102</v>
      </c>
      <c r="C67" s="5"/>
      <c r="D67" s="1" t="s">
        <v>102</v>
      </c>
      <c r="E67" s="5">
        <v>3</v>
      </c>
      <c r="F67" s="1" t="s">
        <v>102</v>
      </c>
      <c r="G67" s="5">
        <v>5</v>
      </c>
      <c r="H67" s="1" t="s">
        <v>102</v>
      </c>
      <c r="I67" s="1"/>
      <c r="J67" s="1" t="s">
        <v>102</v>
      </c>
      <c r="K67" s="5"/>
      <c r="L67" s="1" t="s">
        <v>102</v>
      </c>
      <c r="M67" s="5">
        <v>5</v>
      </c>
      <c r="N67" s="1" t="s">
        <v>102</v>
      </c>
      <c r="O67" s="5">
        <v>25</v>
      </c>
      <c r="P67" s="1" t="s">
        <v>102</v>
      </c>
      <c r="Q67" s="5"/>
      <c r="R67" s="1" t="s">
        <v>102</v>
      </c>
      <c r="S67" s="22"/>
      <c r="T67" s="27">
        <f t="shared" si="0"/>
        <v>38</v>
      </c>
      <c r="U67" s="1" t="s">
        <v>102</v>
      </c>
    </row>
    <row r="68" spans="2:21" x14ac:dyDescent="0.2">
      <c r="B68" s="1" t="s">
        <v>103</v>
      </c>
      <c r="C68" s="5"/>
      <c r="D68" s="1" t="s">
        <v>103</v>
      </c>
      <c r="E68" s="5">
        <v>3</v>
      </c>
      <c r="F68" s="1" t="s">
        <v>103</v>
      </c>
      <c r="G68" s="5">
        <v>5</v>
      </c>
      <c r="H68" s="1" t="s">
        <v>103</v>
      </c>
      <c r="I68" s="1"/>
      <c r="J68" s="1" t="s">
        <v>103</v>
      </c>
      <c r="K68" s="5"/>
      <c r="L68" s="1" t="s">
        <v>103</v>
      </c>
      <c r="M68" s="5"/>
      <c r="N68" s="1" t="s">
        <v>103</v>
      </c>
      <c r="O68" s="5">
        <v>26</v>
      </c>
      <c r="P68" s="1" t="s">
        <v>103</v>
      </c>
      <c r="Q68" s="5"/>
      <c r="R68" s="1" t="s">
        <v>103</v>
      </c>
      <c r="S68" s="22"/>
      <c r="T68" s="27">
        <f t="shared" si="0"/>
        <v>34</v>
      </c>
      <c r="U68" s="1" t="s">
        <v>103</v>
      </c>
    </row>
    <row r="69" spans="2:21" x14ac:dyDescent="0.2">
      <c r="B69" s="1" t="s">
        <v>104</v>
      </c>
      <c r="C69" s="5"/>
      <c r="D69" s="1" t="s">
        <v>104</v>
      </c>
      <c r="E69" s="5"/>
      <c r="F69" s="1" t="s">
        <v>104</v>
      </c>
      <c r="G69" s="5">
        <v>5</v>
      </c>
      <c r="H69" s="1" t="s">
        <v>104</v>
      </c>
      <c r="I69" s="1"/>
      <c r="J69" s="1" t="s">
        <v>104</v>
      </c>
      <c r="K69" s="5"/>
      <c r="L69" s="1" t="s">
        <v>104</v>
      </c>
      <c r="M69" s="5">
        <v>10</v>
      </c>
      <c r="N69" s="1" t="s">
        <v>104</v>
      </c>
      <c r="O69" s="5"/>
      <c r="P69" s="1" t="s">
        <v>104</v>
      </c>
      <c r="Q69" s="5"/>
      <c r="R69" s="1" t="s">
        <v>104</v>
      </c>
      <c r="S69" s="22"/>
      <c r="T69" s="27">
        <f t="shared" si="0"/>
        <v>15</v>
      </c>
      <c r="U69" s="1" t="s">
        <v>104</v>
      </c>
    </row>
    <row r="70" spans="2:21" x14ac:dyDescent="0.2">
      <c r="B70" s="1" t="s">
        <v>105</v>
      </c>
      <c r="C70" s="5">
        <v>100</v>
      </c>
      <c r="D70" s="1" t="s">
        <v>105</v>
      </c>
      <c r="E70" s="5">
        <v>30</v>
      </c>
      <c r="F70" s="1" t="s">
        <v>105</v>
      </c>
      <c r="G70" s="5">
        <v>170</v>
      </c>
      <c r="H70" s="1" t="s">
        <v>105</v>
      </c>
      <c r="I70" s="1"/>
      <c r="J70" s="1" t="s">
        <v>105</v>
      </c>
      <c r="K70" s="5"/>
      <c r="L70" s="1" t="s">
        <v>105</v>
      </c>
      <c r="M70" s="5"/>
      <c r="N70" s="1" t="s">
        <v>105</v>
      </c>
      <c r="O70" s="5">
        <v>15</v>
      </c>
      <c r="P70" s="1" t="s">
        <v>105</v>
      </c>
      <c r="Q70" s="5"/>
      <c r="R70" s="1" t="s">
        <v>105</v>
      </c>
      <c r="S70" s="22"/>
      <c r="T70" s="27">
        <f t="shared" si="0"/>
        <v>315</v>
      </c>
      <c r="U70" s="1" t="s">
        <v>105</v>
      </c>
    </row>
    <row r="71" spans="2:21" x14ac:dyDescent="0.2">
      <c r="B71" s="1" t="s">
        <v>106</v>
      </c>
      <c r="C71" s="5"/>
      <c r="D71" s="1" t="s">
        <v>106</v>
      </c>
      <c r="E71" s="5"/>
      <c r="F71" s="1" t="s">
        <v>106</v>
      </c>
      <c r="G71" s="5">
        <v>60</v>
      </c>
      <c r="H71" s="1" t="s">
        <v>106</v>
      </c>
      <c r="I71" s="1"/>
      <c r="J71" s="1" t="s">
        <v>106</v>
      </c>
      <c r="K71" s="5"/>
      <c r="L71" s="1" t="s">
        <v>106</v>
      </c>
      <c r="M71" s="5"/>
      <c r="N71" s="1" t="s">
        <v>106</v>
      </c>
      <c r="O71" s="5"/>
      <c r="P71" s="1" t="s">
        <v>106</v>
      </c>
      <c r="Q71" s="5"/>
      <c r="R71" s="1" t="s">
        <v>106</v>
      </c>
      <c r="S71" s="22"/>
      <c r="T71" s="27">
        <f t="shared" si="0"/>
        <v>60</v>
      </c>
      <c r="U71" s="1" t="s">
        <v>106</v>
      </c>
    </row>
    <row r="72" spans="2:21" x14ac:dyDescent="0.2">
      <c r="B72" s="1" t="s">
        <v>107</v>
      </c>
      <c r="C72" s="5"/>
      <c r="D72" s="1" t="s">
        <v>107</v>
      </c>
      <c r="E72" s="5"/>
      <c r="F72" s="1" t="s">
        <v>107</v>
      </c>
      <c r="G72" s="5">
        <v>30</v>
      </c>
      <c r="H72" s="1" t="s">
        <v>107</v>
      </c>
      <c r="I72" s="1"/>
      <c r="J72" s="1" t="s">
        <v>107</v>
      </c>
      <c r="K72" s="5"/>
      <c r="L72" s="1" t="s">
        <v>107</v>
      </c>
      <c r="M72" s="5"/>
      <c r="N72" s="1" t="s">
        <v>107</v>
      </c>
      <c r="O72" s="5"/>
      <c r="P72" s="1" t="s">
        <v>107</v>
      </c>
      <c r="Q72" s="5"/>
      <c r="R72" s="1" t="s">
        <v>107</v>
      </c>
      <c r="S72" s="22"/>
      <c r="T72" s="27">
        <f t="shared" ref="T72:T74" si="1">C72+E72+G72+I72+K72+M72+O72+Q72+S72</f>
        <v>30</v>
      </c>
      <c r="U72" s="1" t="s">
        <v>107</v>
      </c>
    </row>
    <row r="73" spans="2:21" x14ac:dyDescent="0.2">
      <c r="B73" s="1" t="s">
        <v>108</v>
      </c>
      <c r="C73" s="5"/>
      <c r="D73" s="1" t="s">
        <v>108</v>
      </c>
      <c r="E73" s="5">
        <v>24</v>
      </c>
      <c r="F73" s="1" t="s">
        <v>108</v>
      </c>
      <c r="G73" s="5"/>
      <c r="H73" s="1" t="s">
        <v>108</v>
      </c>
      <c r="I73" s="1"/>
      <c r="J73" s="1" t="s">
        <v>108</v>
      </c>
      <c r="K73" s="5"/>
      <c r="L73" s="1" t="s">
        <v>108</v>
      </c>
      <c r="M73" s="5"/>
      <c r="N73" s="1" t="s">
        <v>108</v>
      </c>
      <c r="O73" s="5"/>
      <c r="P73" s="1" t="s">
        <v>108</v>
      </c>
      <c r="Q73" s="5"/>
      <c r="R73" s="1" t="s">
        <v>108</v>
      </c>
      <c r="S73" s="22"/>
      <c r="T73" s="27">
        <f t="shared" si="1"/>
        <v>24</v>
      </c>
      <c r="U73" s="1" t="s">
        <v>108</v>
      </c>
    </row>
    <row r="74" spans="2:21" x14ac:dyDescent="0.2">
      <c r="B74" s="1" t="s">
        <v>109</v>
      </c>
      <c r="C74" s="5"/>
      <c r="D74" s="1" t="s">
        <v>109</v>
      </c>
      <c r="E74" s="5"/>
      <c r="F74" s="1" t="s">
        <v>109</v>
      </c>
      <c r="G74" s="5"/>
      <c r="H74" s="1" t="s">
        <v>109</v>
      </c>
      <c r="I74" s="1"/>
      <c r="J74" s="1" t="s">
        <v>109</v>
      </c>
      <c r="K74" s="5"/>
      <c r="L74" s="1" t="s">
        <v>109</v>
      </c>
      <c r="M74" s="5"/>
      <c r="N74" s="1" t="s">
        <v>109</v>
      </c>
      <c r="O74" s="5"/>
      <c r="P74" s="1" t="s">
        <v>109</v>
      </c>
      <c r="Q74" s="5"/>
      <c r="R74" s="1" t="s">
        <v>109</v>
      </c>
      <c r="S74" s="22"/>
      <c r="T74" s="27">
        <f t="shared" si="1"/>
        <v>0</v>
      </c>
      <c r="U74" s="1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7A8D6-5112-3642-A14E-F72FE0E67CB2}">
  <dimension ref="B2:H70"/>
  <sheetViews>
    <sheetView tabSelected="1" zoomScaleNormal="60" zoomScaleSheetLayoutView="100" workbookViewId="0">
      <selection activeCell="E48" sqref="E48"/>
    </sheetView>
  </sheetViews>
  <sheetFormatPr defaultRowHeight="15" x14ac:dyDescent="0.2"/>
  <cols>
    <col min="3" max="3" width="13.31640625" bestFit="1" customWidth="1"/>
  </cols>
  <sheetData>
    <row r="2" spans="2:8" x14ac:dyDescent="0.2">
      <c r="B2" s="6" t="s">
        <v>20</v>
      </c>
      <c r="C2" s="6" t="s">
        <v>11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</row>
    <row r="3" spans="2:8" x14ac:dyDescent="0.2">
      <c r="B3" s="1"/>
      <c r="C3" s="1" t="s">
        <v>26</v>
      </c>
      <c r="D3" s="5">
        <v>0</v>
      </c>
      <c r="E3" s="5">
        <f>'Belanja Barang'!E3</f>
        <v>2600</v>
      </c>
      <c r="F3" s="5">
        <v>0</v>
      </c>
      <c r="G3" s="27">
        <f>Pengiriman!AA7</f>
        <v>0</v>
      </c>
      <c r="H3" s="5">
        <f>(D3+E3) -(F3+G3)</f>
        <v>2600</v>
      </c>
    </row>
    <row r="4" spans="2:8" x14ac:dyDescent="0.2">
      <c r="B4" s="1"/>
      <c r="C4" s="1" t="s">
        <v>27</v>
      </c>
      <c r="D4" s="5">
        <v>0</v>
      </c>
      <c r="E4" s="5">
        <f>'Belanja Barang'!E4</f>
        <v>475</v>
      </c>
      <c r="F4" s="5">
        <v>0</v>
      </c>
      <c r="G4" s="27">
        <f>Pengiriman!AA8</f>
        <v>0</v>
      </c>
      <c r="H4" s="5">
        <f t="shared" ref="H4:H67" si="0">(D4+E4) -(F4+G4)</f>
        <v>475</v>
      </c>
    </row>
    <row r="5" spans="2:8" x14ac:dyDescent="0.2">
      <c r="B5" s="1"/>
      <c r="C5" s="1" t="s">
        <v>28</v>
      </c>
      <c r="D5" s="5">
        <v>0</v>
      </c>
      <c r="E5" s="5">
        <f>'Belanja Barang'!E5</f>
        <v>2600</v>
      </c>
      <c r="F5" s="5">
        <v>0</v>
      </c>
      <c r="G5" s="27">
        <f>Pengiriman!AA9</f>
        <v>0</v>
      </c>
      <c r="H5" s="5">
        <f t="shared" si="0"/>
        <v>2600</v>
      </c>
    </row>
    <row r="6" spans="2:8" x14ac:dyDescent="0.2">
      <c r="B6" s="1"/>
      <c r="C6" s="1" t="s">
        <v>29</v>
      </c>
      <c r="D6" s="5">
        <v>0</v>
      </c>
      <c r="E6" s="5">
        <f>'Belanja Barang'!E6</f>
        <v>150</v>
      </c>
      <c r="F6" s="5">
        <v>0</v>
      </c>
      <c r="G6" s="27">
        <f>Pengiriman!AA10</f>
        <v>0</v>
      </c>
      <c r="H6" s="5">
        <f t="shared" si="0"/>
        <v>150</v>
      </c>
    </row>
    <row r="7" spans="2:8" x14ac:dyDescent="0.2">
      <c r="B7" s="1"/>
      <c r="C7" s="1" t="s">
        <v>46</v>
      </c>
      <c r="D7" s="5">
        <v>0</v>
      </c>
      <c r="E7" s="5">
        <f>'Belanja Barang'!E7</f>
        <v>0</v>
      </c>
      <c r="F7" s="5">
        <v>0</v>
      </c>
      <c r="G7" s="27">
        <f>Pengiriman!AA11</f>
        <v>0</v>
      </c>
      <c r="H7" s="5">
        <f t="shared" si="0"/>
        <v>0</v>
      </c>
    </row>
    <row r="8" spans="2:8" x14ac:dyDescent="0.2">
      <c r="B8" s="1"/>
      <c r="C8" s="1" t="s">
        <v>47</v>
      </c>
      <c r="D8" s="5">
        <v>0</v>
      </c>
      <c r="E8" s="5">
        <f>'Belanja Barang'!E8</f>
        <v>50</v>
      </c>
      <c r="F8" s="5">
        <v>0</v>
      </c>
      <c r="G8" s="27">
        <f>Pengiriman!AA12</f>
        <v>0</v>
      </c>
      <c r="H8" s="5">
        <f t="shared" si="0"/>
        <v>50</v>
      </c>
    </row>
    <row r="9" spans="2:8" x14ac:dyDescent="0.2">
      <c r="B9" s="1"/>
      <c r="C9" s="1" t="s">
        <v>48</v>
      </c>
      <c r="D9" s="5">
        <v>0</v>
      </c>
      <c r="E9" s="5">
        <f>'Belanja Barang'!E9</f>
        <v>120</v>
      </c>
      <c r="F9" s="5">
        <v>0</v>
      </c>
      <c r="G9" s="27">
        <f>Pengiriman!AA13</f>
        <v>0</v>
      </c>
      <c r="H9" s="5">
        <f t="shared" si="0"/>
        <v>120</v>
      </c>
    </row>
    <row r="10" spans="2:8" x14ac:dyDescent="0.2">
      <c r="B10" s="1"/>
      <c r="C10" s="1" t="s">
        <v>49</v>
      </c>
      <c r="D10" s="5">
        <v>0</v>
      </c>
      <c r="E10" s="5">
        <f>'Belanja Barang'!E10</f>
        <v>0</v>
      </c>
      <c r="F10" s="5">
        <v>0</v>
      </c>
      <c r="G10" s="27">
        <f>Pengiriman!AA14</f>
        <v>0</v>
      </c>
      <c r="H10" s="5">
        <f t="shared" si="0"/>
        <v>0</v>
      </c>
    </row>
    <row r="11" spans="2:8" x14ac:dyDescent="0.2">
      <c r="B11" s="1"/>
      <c r="C11" s="1" t="s">
        <v>50</v>
      </c>
      <c r="D11" s="5">
        <v>0</v>
      </c>
      <c r="E11" s="5">
        <f>'Belanja Barang'!E11</f>
        <v>2000</v>
      </c>
      <c r="F11" s="5">
        <v>0</v>
      </c>
      <c r="G11" s="27">
        <f>Pengiriman!AA15</f>
        <v>0</v>
      </c>
      <c r="H11" s="5">
        <f t="shared" si="0"/>
        <v>2000</v>
      </c>
    </row>
    <row r="12" spans="2:8" x14ac:dyDescent="0.2">
      <c r="B12" s="1"/>
      <c r="C12" s="1" t="s">
        <v>51</v>
      </c>
      <c r="D12" s="5">
        <v>0</v>
      </c>
      <c r="E12" s="5">
        <f>'Belanja Barang'!E12</f>
        <v>0</v>
      </c>
      <c r="F12" s="5">
        <v>0</v>
      </c>
      <c r="G12" s="27">
        <f>Pengiriman!AA16</f>
        <v>0</v>
      </c>
      <c r="H12" s="5">
        <f t="shared" si="0"/>
        <v>0</v>
      </c>
    </row>
    <row r="13" spans="2:8" x14ac:dyDescent="0.2">
      <c r="B13" s="1"/>
      <c r="C13" s="1" t="s">
        <v>52</v>
      </c>
      <c r="D13" s="5">
        <v>0</v>
      </c>
      <c r="E13" s="5">
        <f>'Belanja Barang'!E13</f>
        <v>0</v>
      </c>
      <c r="F13" s="5">
        <v>0</v>
      </c>
      <c r="G13" s="27">
        <f>Pengiriman!AA17</f>
        <v>0</v>
      </c>
      <c r="H13" s="5">
        <f t="shared" si="0"/>
        <v>0</v>
      </c>
    </row>
    <row r="14" spans="2:8" x14ac:dyDescent="0.2">
      <c r="B14" s="1"/>
      <c r="C14" s="1" t="s">
        <v>53</v>
      </c>
      <c r="D14" s="5">
        <v>0</v>
      </c>
      <c r="E14" s="5">
        <f>'Belanja Barang'!E14</f>
        <v>0</v>
      </c>
      <c r="F14" s="5">
        <v>0</v>
      </c>
      <c r="G14" s="27">
        <f>Pengiriman!AA18</f>
        <v>0</v>
      </c>
      <c r="H14" s="5">
        <f t="shared" si="0"/>
        <v>0</v>
      </c>
    </row>
    <row r="15" spans="2:8" x14ac:dyDescent="0.2">
      <c r="B15" s="1"/>
      <c r="C15" s="1" t="s">
        <v>54</v>
      </c>
      <c r="D15" s="5">
        <v>0</v>
      </c>
      <c r="E15" s="5">
        <f>'Belanja Barang'!E15</f>
        <v>40</v>
      </c>
      <c r="F15" s="5">
        <v>0</v>
      </c>
      <c r="G15" s="27">
        <f>Pengiriman!AA19</f>
        <v>0</v>
      </c>
      <c r="H15" s="5">
        <f t="shared" si="0"/>
        <v>40</v>
      </c>
    </row>
    <row r="16" spans="2:8" x14ac:dyDescent="0.2">
      <c r="B16" s="1"/>
      <c r="C16" s="1" t="s">
        <v>55</v>
      </c>
      <c r="D16" s="5">
        <v>0</v>
      </c>
      <c r="E16" s="5">
        <f>'Belanja Barang'!E16</f>
        <v>25</v>
      </c>
      <c r="F16" s="5">
        <v>0</v>
      </c>
      <c r="G16" s="27">
        <f>Pengiriman!AA20</f>
        <v>0</v>
      </c>
      <c r="H16" s="5">
        <f t="shared" si="0"/>
        <v>25</v>
      </c>
    </row>
    <row r="17" spans="2:8" x14ac:dyDescent="0.2">
      <c r="B17" s="1"/>
      <c r="C17" s="1" t="s">
        <v>56</v>
      </c>
      <c r="D17" s="5">
        <v>0</v>
      </c>
      <c r="E17" s="5">
        <f>'Belanja Barang'!E17</f>
        <v>0</v>
      </c>
      <c r="F17" s="5">
        <v>0</v>
      </c>
      <c r="G17" s="27">
        <f>Pengiriman!AA21</f>
        <v>0</v>
      </c>
      <c r="H17" s="5">
        <f t="shared" si="0"/>
        <v>0</v>
      </c>
    </row>
    <row r="18" spans="2:8" x14ac:dyDescent="0.2">
      <c r="B18" s="1"/>
      <c r="C18" s="1" t="s">
        <v>57</v>
      </c>
      <c r="D18" s="5">
        <v>0</v>
      </c>
      <c r="E18" s="5">
        <f>'Belanja Barang'!E18</f>
        <v>0</v>
      </c>
      <c r="F18" s="5">
        <v>0</v>
      </c>
      <c r="G18" s="27">
        <f>Pengiriman!AA22</f>
        <v>0</v>
      </c>
      <c r="H18" s="5">
        <f t="shared" si="0"/>
        <v>0</v>
      </c>
    </row>
    <row r="19" spans="2:8" x14ac:dyDescent="0.2">
      <c r="B19" s="1"/>
      <c r="C19" s="1" t="s">
        <v>58</v>
      </c>
      <c r="D19" s="5">
        <v>0</v>
      </c>
      <c r="E19" s="5">
        <f>'Belanja Barang'!E19</f>
        <v>0</v>
      </c>
      <c r="F19" s="5">
        <v>0</v>
      </c>
      <c r="G19" s="27">
        <f>Pengiriman!AA23</f>
        <v>0</v>
      </c>
      <c r="H19" s="5">
        <f t="shared" si="0"/>
        <v>0</v>
      </c>
    </row>
    <row r="20" spans="2:8" x14ac:dyDescent="0.2">
      <c r="B20" s="1"/>
      <c r="C20" s="1" t="s">
        <v>59</v>
      </c>
      <c r="D20" s="5">
        <v>0</v>
      </c>
      <c r="E20" s="5">
        <f>'Belanja Barang'!E20</f>
        <v>0</v>
      </c>
      <c r="F20" s="5">
        <v>0</v>
      </c>
      <c r="G20" s="27">
        <f>Pengiriman!AA24</f>
        <v>0</v>
      </c>
      <c r="H20" s="5">
        <f t="shared" si="0"/>
        <v>0</v>
      </c>
    </row>
    <row r="21" spans="2:8" x14ac:dyDescent="0.2">
      <c r="B21" s="1"/>
      <c r="C21" s="1" t="s">
        <v>60</v>
      </c>
      <c r="D21" s="5">
        <v>0</v>
      </c>
      <c r="E21" s="5">
        <f>'Belanja Barang'!E21</f>
        <v>0</v>
      </c>
      <c r="F21" s="5">
        <v>0</v>
      </c>
      <c r="G21" s="27">
        <f>Pengiriman!AA25</f>
        <v>0</v>
      </c>
      <c r="H21" s="5">
        <f t="shared" si="0"/>
        <v>0</v>
      </c>
    </row>
    <row r="22" spans="2:8" x14ac:dyDescent="0.2">
      <c r="B22" s="1"/>
      <c r="C22" s="1" t="s">
        <v>61</v>
      </c>
      <c r="D22" s="5">
        <v>0</v>
      </c>
      <c r="E22" s="5">
        <f>'Belanja Barang'!E22</f>
        <v>0</v>
      </c>
      <c r="F22" s="5">
        <v>0</v>
      </c>
      <c r="G22" s="27">
        <f>Pengiriman!AA26</f>
        <v>0</v>
      </c>
      <c r="H22" s="5">
        <f t="shared" si="0"/>
        <v>0</v>
      </c>
    </row>
    <row r="23" spans="2:8" x14ac:dyDescent="0.2">
      <c r="B23" s="1"/>
      <c r="C23" s="1" t="s">
        <v>62</v>
      </c>
      <c r="D23" s="5">
        <v>0</v>
      </c>
      <c r="E23" s="5">
        <f>'Belanja Barang'!E23</f>
        <v>0</v>
      </c>
      <c r="F23" s="5">
        <v>0</v>
      </c>
      <c r="G23" s="27">
        <f>Pengiriman!AA27</f>
        <v>0</v>
      </c>
      <c r="H23" s="5">
        <f t="shared" si="0"/>
        <v>0</v>
      </c>
    </row>
    <row r="24" spans="2:8" x14ac:dyDescent="0.2">
      <c r="B24" s="1"/>
      <c r="C24" s="1" t="s">
        <v>63</v>
      </c>
      <c r="D24" s="5">
        <v>0</v>
      </c>
      <c r="E24" s="5">
        <f>'Belanja Barang'!E24</f>
        <v>0</v>
      </c>
      <c r="F24" s="5">
        <v>0</v>
      </c>
      <c r="G24" s="27">
        <f>Pengiriman!AA28</f>
        <v>0</v>
      </c>
      <c r="H24" s="5">
        <f t="shared" si="0"/>
        <v>0</v>
      </c>
    </row>
    <row r="25" spans="2:8" x14ac:dyDescent="0.2">
      <c r="B25" s="1"/>
      <c r="C25" s="1" t="s">
        <v>64</v>
      </c>
      <c r="D25" s="5">
        <v>0</v>
      </c>
      <c r="E25" s="5">
        <f>'Belanja Barang'!E25</f>
        <v>0</v>
      </c>
      <c r="F25" s="5">
        <v>0</v>
      </c>
      <c r="G25" s="27">
        <f>Pengiriman!AA29</f>
        <v>0</v>
      </c>
      <c r="H25" s="5">
        <f t="shared" si="0"/>
        <v>0</v>
      </c>
    </row>
    <row r="26" spans="2:8" x14ac:dyDescent="0.2">
      <c r="B26" s="1"/>
      <c r="C26" s="1" t="s">
        <v>65</v>
      </c>
      <c r="D26" s="5">
        <v>0</v>
      </c>
      <c r="E26" s="5">
        <f>'Belanja Barang'!E26</f>
        <v>0</v>
      </c>
      <c r="F26" s="5">
        <v>0</v>
      </c>
      <c r="G26" s="27">
        <f>Pengiriman!AA30</f>
        <v>0</v>
      </c>
      <c r="H26" s="5">
        <f t="shared" si="0"/>
        <v>0</v>
      </c>
    </row>
    <row r="27" spans="2:8" x14ac:dyDescent="0.2">
      <c r="B27" s="1"/>
      <c r="C27" s="1" t="s">
        <v>66</v>
      </c>
      <c r="D27" s="5">
        <v>0</v>
      </c>
      <c r="E27" s="5">
        <f>'Belanja Barang'!E27</f>
        <v>0</v>
      </c>
      <c r="F27" s="5">
        <v>0</v>
      </c>
      <c r="G27" s="27">
        <f>Pengiriman!AA31</f>
        <v>0</v>
      </c>
      <c r="H27" s="5">
        <f t="shared" si="0"/>
        <v>0</v>
      </c>
    </row>
    <row r="28" spans="2:8" x14ac:dyDescent="0.2">
      <c r="B28" s="1"/>
      <c r="C28" s="1" t="s">
        <v>67</v>
      </c>
      <c r="D28" s="5">
        <v>0</v>
      </c>
      <c r="E28" s="5">
        <f>'Belanja Barang'!E28</f>
        <v>0</v>
      </c>
      <c r="F28" s="5">
        <v>0</v>
      </c>
      <c r="G28" s="27">
        <f>Pengiriman!AA32</f>
        <v>0</v>
      </c>
      <c r="H28" s="5">
        <f t="shared" si="0"/>
        <v>0</v>
      </c>
    </row>
    <row r="29" spans="2:8" x14ac:dyDescent="0.2">
      <c r="B29" s="1"/>
      <c r="C29" s="1" t="s">
        <v>68</v>
      </c>
      <c r="D29" s="5">
        <v>0</v>
      </c>
      <c r="E29" s="5">
        <f>'Belanja Barang'!E29</f>
        <v>0</v>
      </c>
      <c r="F29" s="5">
        <v>0</v>
      </c>
      <c r="G29" s="27">
        <f>Pengiriman!AA33</f>
        <v>0</v>
      </c>
      <c r="H29" s="5">
        <f t="shared" si="0"/>
        <v>0</v>
      </c>
    </row>
    <row r="30" spans="2:8" x14ac:dyDescent="0.2">
      <c r="B30" s="1"/>
      <c r="C30" s="1" t="s">
        <v>69</v>
      </c>
      <c r="D30" s="5">
        <v>0</v>
      </c>
      <c r="E30" s="5">
        <f>'Belanja Barang'!E30</f>
        <v>600</v>
      </c>
      <c r="F30" s="5">
        <v>0</v>
      </c>
      <c r="G30" s="27">
        <f>Pengiriman!AA34</f>
        <v>0</v>
      </c>
      <c r="H30" s="5">
        <f t="shared" si="0"/>
        <v>600</v>
      </c>
    </row>
    <row r="31" spans="2:8" x14ac:dyDescent="0.2">
      <c r="B31" s="1"/>
      <c r="C31" s="1" t="s">
        <v>70</v>
      </c>
      <c r="D31" s="5">
        <v>0</v>
      </c>
      <c r="E31" s="5">
        <f>'Belanja Barang'!E31</f>
        <v>0</v>
      </c>
      <c r="F31" s="5">
        <v>0</v>
      </c>
      <c r="G31" s="27">
        <f>Pengiriman!AA35</f>
        <v>0</v>
      </c>
      <c r="H31" s="5">
        <f t="shared" si="0"/>
        <v>0</v>
      </c>
    </row>
    <row r="32" spans="2:8" x14ac:dyDescent="0.2">
      <c r="B32" s="1"/>
      <c r="C32" s="1" t="s">
        <v>71</v>
      </c>
      <c r="D32" s="5">
        <v>0</v>
      </c>
      <c r="E32" s="5">
        <f>'Belanja Barang'!E32</f>
        <v>0</v>
      </c>
      <c r="F32" s="5">
        <v>0</v>
      </c>
      <c r="G32" s="27">
        <f>Pengiriman!AA36</f>
        <v>0</v>
      </c>
      <c r="H32" s="5">
        <f t="shared" si="0"/>
        <v>0</v>
      </c>
    </row>
    <row r="33" spans="2:8" x14ac:dyDescent="0.2">
      <c r="B33" s="1"/>
      <c r="C33" s="1" t="s">
        <v>72</v>
      </c>
      <c r="D33" s="5">
        <v>0</v>
      </c>
      <c r="E33" s="5">
        <f>'Belanja Barang'!E33</f>
        <v>0</v>
      </c>
      <c r="F33" s="5">
        <v>0</v>
      </c>
      <c r="G33" s="27">
        <f>Pengiriman!AA37</f>
        <v>0</v>
      </c>
      <c r="H33" s="5">
        <f t="shared" si="0"/>
        <v>0</v>
      </c>
    </row>
    <row r="34" spans="2:8" x14ac:dyDescent="0.2">
      <c r="B34" s="1"/>
      <c r="C34" s="1" t="s">
        <v>73</v>
      </c>
      <c r="D34" s="5">
        <v>0</v>
      </c>
      <c r="E34" s="5">
        <f>'Belanja Barang'!E34</f>
        <v>1500</v>
      </c>
      <c r="F34" s="5">
        <v>0</v>
      </c>
      <c r="G34" s="27">
        <f>Pengiriman!AA38</f>
        <v>0</v>
      </c>
      <c r="H34" s="5">
        <f t="shared" si="0"/>
        <v>1500</v>
      </c>
    </row>
    <row r="35" spans="2:8" x14ac:dyDescent="0.2">
      <c r="B35" s="1"/>
      <c r="C35" s="1" t="s">
        <v>74</v>
      </c>
      <c r="D35" s="5">
        <v>0</v>
      </c>
      <c r="E35" s="5">
        <f>'Belanja Barang'!E35</f>
        <v>10</v>
      </c>
      <c r="F35" s="5">
        <v>0</v>
      </c>
      <c r="G35" s="27">
        <f>Pengiriman!AA39</f>
        <v>0</v>
      </c>
      <c r="H35" s="5">
        <f t="shared" si="0"/>
        <v>10</v>
      </c>
    </row>
    <row r="36" spans="2:8" x14ac:dyDescent="0.2">
      <c r="B36" s="1"/>
      <c r="C36" s="1" t="s">
        <v>75</v>
      </c>
      <c r="D36" s="5">
        <v>0</v>
      </c>
      <c r="E36" s="5">
        <f>'Belanja Barang'!E36</f>
        <v>0</v>
      </c>
      <c r="F36" s="5">
        <v>0</v>
      </c>
      <c r="G36" s="27">
        <f>Pengiriman!AA40</f>
        <v>0</v>
      </c>
      <c r="H36" s="5">
        <f t="shared" si="0"/>
        <v>0</v>
      </c>
    </row>
    <row r="37" spans="2:8" x14ac:dyDescent="0.2">
      <c r="B37" s="1"/>
      <c r="C37" s="1" t="s">
        <v>76</v>
      </c>
      <c r="D37" s="5">
        <v>0</v>
      </c>
      <c r="E37" s="5">
        <f>'Belanja Barang'!E37</f>
        <v>0</v>
      </c>
      <c r="F37" s="5">
        <v>0</v>
      </c>
      <c r="G37" s="27">
        <f>Pengiriman!AA41</f>
        <v>0</v>
      </c>
      <c r="H37" s="5">
        <f t="shared" si="0"/>
        <v>0</v>
      </c>
    </row>
    <row r="38" spans="2:8" x14ac:dyDescent="0.2">
      <c r="B38" s="1"/>
      <c r="C38" s="1" t="s">
        <v>77</v>
      </c>
      <c r="D38" s="5">
        <v>0</v>
      </c>
      <c r="E38" s="5">
        <f>'Belanja Barang'!E38</f>
        <v>0</v>
      </c>
      <c r="F38" s="5">
        <v>0</v>
      </c>
      <c r="G38" s="27">
        <f>Pengiriman!AA42</f>
        <v>0</v>
      </c>
      <c r="H38" s="5">
        <f t="shared" si="0"/>
        <v>0</v>
      </c>
    </row>
    <row r="39" spans="2:8" x14ac:dyDescent="0.2">
      <c r="B39" s="1"/>
      <c r="C39" s="1" t="s">
        <v>78</v>
      </c>
      <c r="D39" s="5">
        <v>0</v>
      </c>
      <c r="E39" s="5">
        <f>'Belanja Barang'!E39</f>
        <v>0</v>
      </c>
      <c r="F39" s="5">
        <v>0</v>
      </c>
      <c r="G39" s="27">
        <f>Pengiriman!AA43</f>
        <v>0</v>
      </c>
      <c r="H39" s="5">
        <f t="shared" si="0"/>
        <v>0</v>
      </c>
    </row>
    <row r="40" spans="2:8" x14ac:dyDescent="0.2">
      <c r="B40" s="1"/>
      <c r="C40" s="1" t="s">
        <v>79</v>
      </c>
      <c r="D40" s="5">
        <v>0</v>
      </c>
      <c r="E40" s="5">
        <f>'Belanja Barang'!E40</f>
        <v>0</v>
      </c>
      <c r="F40" s="5">
        <v>0</v>
      </c>
      <c r="G40" s="27">
        <f>Pengiriman!AA44</f>
        <v>0</v>
      </c>
      <c r="H40" s="5">
        <f t="shared" si="0"/>
        <v>0</v>
      </c>
    </row>
    <row r="41" spans="2:8" x14ac:dyDescent="0.2">
      <c r="B41" s="1"/>
      <c r="C41" s="1" t="s">
        <v>80</v>
      </c>
      <c r="D41" s="5">
        <v>0</v>
      </c>
      <c r="E41" s="5">
        <f>'Belanja Barang'!E41</f>
        <v>0</v>
      </c>
      <c r="F41" s="5">
        <v>0</v>
      </c>
      <c r="G41" s="27">
        <f>Pengiriman!AA45</f>
        <v>0</v>
      </c>
      <c r="H41" s="5">
        <f t="shared" si="0"/>
        <v>0</v>
      </c>
    </row>
    <row r="42" spans="2:8" x14ac:dyDescent="0.2">
      <c r="B42" s="1"/>
      <c r="C42" s="1" t="s">
        <v>81</v>
      </c>
      <c r="D42" s="5">
        <v>0</v>
      </c>
      <c r="E42" s="5">
        <f>'Belanja Barang'!E42</f>
        <v>0</v>
      </c>
      <c r="F42" s="5">
        <v>0</v>
      </c>
      <c r="G42" s="27">
        <f>Pengiriman!AA46</f>
        <v>0</v>
      </c>
      <c r="H42" s="5">
        <f t="shared" si="0"/>
        <v>0</v>
      </c>
    </row>
    <row r="43" spans="2:8" x14ac:dyDescent="0.2">
      <c r="B43" s="1"/>
      <c r="C43" s="1" t="s">
        <v>82</v>
      </c>
      <c r="D43" s="5">
        <v>0</v>
      </c>
      <c r="E43" s="5">
        <f>'Belanja Barang'!E43</f>
        <v>0</v>
      </c>
      <c r="F43" s="5">
        <v>0</v>
      </c>
      <c r="G43" s="27">
        <f>Pengiriman!AA47</f>
        <v>0</v>
      </c>
      <c r="H43" s="5">
        <f t="shared" si="0"/>
        <v>0</v>
      </c>
    </row>
    <row r="44" spans="2:8" x14ac:dyDescent="0.2">
      <c r="B44" s="1"/>
      <c r="C44" s="1" t="s">
        <v>83</v>
      </c>
      <c r="D44" s="5">
        <v>0</v>
      </c>
      <c r="E44" s="5">
        <f>'Belanja Barang'!E44</f>
        <v>0</v>
      </c>
      <c r="F44" s="5">
        <v>0</v>
      </c>
      <c r="G44" s="27">
        <f>Pengiriman!AA48</f>
        <v>0</v>
      </c>
      <c r="H44" s="5">
        <f t="shared" si="0"/>
        <v>0</v>
      </c>
    </row>
    <row r="45" spans="2:8" x14ac:dyDescent="0.2">
      <c r="B45" s="1"/>
      <c r="C45" s="1" t="s">
        <v>84</v>
      </c>
      <c r="D45" s="5">
        <v>0</v>
      </c>
      <c r="E45" s="5">
        <f>'Belanja Barang'!E45</f>
        <v>0</v>
      </c>
      <c r="F45" s="5">
        <v>0</v>
      </c>
      <c r="G45" s="27">
        <f>Pengiriman!AA49</f>
        <v>0</v>
      </c>
      <c r="H45" s="5">
        <f t="shared" si="0"/>
        <v>0</v>
      </c>
    </row>
    <row r="46" spans="2:8" x14ac:dyDescent="0.2">
      <c r="B46" s="1"/>
      <c r="C46" s="1" t="s">
        <v>85</v>
      </c>
      <c r="D46" s="5">
        <v>0</v>
      </c>
      <c r="E46" s="5">
        <f>'Belanja Barang'!E46</f>
        <v>0</v>
      </c>
      <c r="F46" s="5">
        <v>0</v>
      </c>
      <c r="G46" s="27">
        <f>Pengiriman!AA50</f>
        <v>0</v>
      </c>
      <c r="H46" s="5">
        <f t="shared" si="0"/>
        <v>0</v>
      </c>
    </row>
    <row r="47" spans="2:8" x14ac:dyDescent="0.2">
      <c r="B47" s="1"/>
      <c r="C47" s="1" t="s">
        <v>86</v>
      </c>
      <c r="D47" s="5">
        <v>0</v>
      </c>
      <c r="E47" s="5">
        <f>'Belanja Barang'!E47</f>
        <v>0</v>
      </c>
      <c r="F47" s="5">
        <v>0</v>
      </c>
      <c r="G47" s="27">
        <f>Pengiriman!AA51</f>
        <v>0</v>
      </c>
      <c r="H47" s="5">
        <f t="shared" si="0"/>
        <v>0</v>
      </c>
    </row>
    <row r="48" spans="2:8" x14ac:dyDescent="0.2">
      <c r="B48" s="1"/>
      <c r="C48" s="1" t="s">
        <v>143</v>
      </c>
      <c r="D48" s="5">
        <v>0</v>
      </c>
      <c r="E48" s="5">
        <f>'Belanja Barang'!E48</f>
        <v>0</v>
      </c>
      <c r="F48" s="5">
        <v>0</v>
      </c>
      <c r="G48" s="27">
        <f>Pengiriman!AA52</f>
        <v>0</v>
      </c>
      <c r="H48" s="5">
        <f t="shared" si="0"/>
        <v>0</v>
      </c>
    </row>
    <row r="49" spans="2:8" x14ac:dyDescent="0.2">
      <c r="B49" s="1"/>
      <c r="C49" s="1" t="s">
        <v>88</v>
      </c>
      <c r="D49" s="5">
        <v>0</v>
      </c>
      <c r="E49" s="5">
        <f>'Belanja Barang'!E49</f>
        <v>0</v>
      </c>
      <c r="F49" s="5">
        <v>0</v>
      </c>
      <c r="G49" s="27">
        <f>Pengiriman!AA53</f>
        <v>0</v>
      </c>
      <c r="H49" s="5">
        <f t="shared" si="0"/>
        <v>0</v>
      </c>
    </row>
    <row r="50" spans="2:8" x14ac:dyDescent="0.2">
      <c r="B50" s="1"/>
      <c r="C50" s="1" t="s">
        <v>89</v>
      </c>
      <c r="D50" s="5">
        <v>0</v>
      </c>
      <c r="E50" s="5">
        <f>'Belanja Barang'!E50</f>
        <v>0</v>
      </c>
      <c r="F50" s="5">
        <v>0</v>
      </c>
      <c r="G50" s="27">
        <f>Pengiriman!AA54</f>
        <v>0</v>
      </c>
      <c r="H50" s="5">
        <f t="shared" si="0"/>
        <v>0</v>
      </c>
    </row>
    <row r="51" spans="2:8" x14ac:dyDescent="0.2">
      <c r="B51" s="1"/>
      <c r="C51" s="1" t="s">
        <v>90</v>
      </c>
      <c r="D51" s="5">
        <v>0</v>
      </c>
      <c r="E51" s="5">
        <f>'Belanja Barang'!E51</f>
        <v>0</v>
      </c>
      <c r="F51" s="5">
        <v>0</v>
      </c>
      <c r="G51" s="27">
        <f>Pengiriman!AA55</f>
        <v>0</v>
      </c>
      <c r="H51" s="5">
        <f t="shared" si="0"/>
        <v>0</v>
      </c>
    </row>
    <row r="52" spans="2:8" x14ac:dyDescent="0.2">
      <c r="B52" s="1"/>
      <c r="C52" s="1" t="s">
        <v>91</v>
      </c>
      <c r="D52" s="5">
        <v>0</v>
      </c>
      <c r="E52" s="5">
        <f>'Belanja Barang'!E52</f>
        <v>0</v>
      </c>
      <c r="F52" s="5">
        <v>0</v>
      </c>
      <c r="G52" s="27">
        <f>Pengiriman!AA56</f>
        <v>0</v>
      </c>
      <c r="H52" s="5">
        <f t="shared" si="0"/>
        <v>0</v>
      </c>
    </row>
    <row r="53" spans="2:8" x14ac:dyDescent="0.2">
      <c r="B53" s="1"/>
      <c r="C53" s="1" t="s">
        <v>92</v>
      </c>
      <c r="D53" s="5">
        <v>0</v>
      </c>
      <c r="E53" s="5">
        <f>'Belanja Barang'!E53</f>
        <v>0</v>
      </c>
      <c r="F53" s="5">
        <v>0</v>
      </c>
      <c r="G53" s="27">
        <f>Pengiriman!AA57</f>
        <v>0</v>
      </c>
      <c r="H53" s="5">
        <f t="shared" si="0"/>
        <v>0</v>
      </c>
    </row>
    <row r="54" spans="2:8" x14ac:dyDescent="0.2">
      <c r="B54" s="1"/>
      <c r="C54" s="1" t="s">
        <v>93</v>
      </c>
      <c r="D54" s="5">
        <v>0</v>
      </c>
      <c r="E54" s="5">
        <f>'Belanja Barang'!E54</f>
        <v>0</v>
      </c>
      <c r="F54" s="5">
        <v>0</v>
      </c>
      <c r="G54" s="27">
        <f>Pengiriman!AA58</f>
        <v>0</v>
      </c>
      <c r="H54" s="5">
        <f t="shared" si="0"/>
        <v>0</v>
      </c>
    </row>
    <row r="55" spans="2:8" x14ac:dyDescent="0.2">
      <c r="B55" s="1"/>
      <c r="C55" s="1" t="s">
        <v>94</v>
      </c>
      <c r="D55" s="5">
        <v>0</v>
      </c>
      <c r="E55" s="5">
        <f>'Belanja Barang'!E55</f>
        <v>0</v>
      </c>
      <c r="F55" s="5">
        <v>0</v>
      </c>
      <c r="G55" s="27">
        <f>Pengiriman!AA59</f>
        <v>0</v>
      </c>
      <c r="H55" s="5">
        <f t="shared" si="0"/>
        <v>0</v>
      </c>
    </row>
    <row r="56" spans="2:8" x14ac:dyDescent="0.2">
      <c r="B56" s="1"/>
      <c r="C56" s="1" t="s">
        <v>95</v>
      </c>
      <c r="D56" s="5">
        <v>0</v>
      </c>
      <c r="E56" s="5">
        <f>'Belanja Barang'!E56</f>
        <v>0</v>
      </c>
      <c r="F56" s="5">
        <v>0</v>
      </c>
      <c r="G56" s="27">
        <f>Pengiriman!AA60</f>
        <v>0</v>
      </c>
      <c r="H56" s="5">
        <f t="shared" si="0"/>
        <v>0</v>
      </c>
    </row>
    <row r="57" spans="2:8" x14ac:dyDescent="0.2">
      <c r="B57" s="1"/>
      <c r="C57" s="1" t="s">
        <v>96</v>
      </c>
      <c r="D57" s="5">
        <v>0</v>
      </c>
      <c r="E57" s="5">
        <f>'Belanja Barang'!E57</f>
        <v>0</v>
      </c>
      <c r="F57" s="5">
        <v>0</v>
      </c>
      <c r="G57" s="27">
        <f>Pengiriman!AA61</f>
        <v>0</v>
      </c>
      <c r="H57" s="5">
        <f t="shared" si="0"/>
        <v>0</v>
      </c>
    </row>
    <row r="58" spans="2:8" x14ac:dyDescent="0.2">
      <c r="B58" s="1"/>
      <c r="C58" s="1" t="s">
        <v>97</v>
      </c>
      <c r="D58" s="5">
        <v>0</v>
      </c>
      <c r="E58" s="5">
        <f>'Belanja Barang'!E58</f>
        <v>0</v>
      </c>
      <c r="F58" s="5">
        <v>0</v>
      </c>
      <c r="G58" s="27">
        <f>Pengiriman!AA62</f>
        <v>0</v>
      </c>
      <c r="H58" s="5">
        <f t="shared" si="0"/>
        <v>0</v>
      </c>
    </row>
    <row r="59" spans="2:8" x14ac:dyDescent="0.2">
      <c r="B59" s="1"/>
      <c r="C59" s="1" t="s">
        <v>98</v>
      </c>
      <c r="D59" s="5">
        <v>0</v>
      </c>
      <c r="E59" s="5">
        <f>'Belanja Barang'!E59</f>
        <v>0</v>
      </c>
      <c r="F59" s="5">
        <v>0</v>
      </c>
      <c r="G59" s="27">
        <f>Pengiriman!AA63</f>
        <v>0</v>
      </c>
      <c r="H59" s="5">
        <f t="shared" si="0"/>
        <v>0</v>
      </c>
    </row>
    <row r="60" spans="2:8" x14ac:dyDescent="0.2">
      <c r="B60" s="1"/>
      <c r="C60" s="1" t="s">
        <v>99</v>
      </c>
      <c r="D60" s="5">
        <v>0</v>
      </c>
      <c r="E60" s="5">
        <f>'Belanja Barang'!E60</f>
        <v>0</v>
      </c>
      <c r="F60" s="5">
        <v>0</v>
      </c>
      <c r="G60" s="27">
        <f>Pengiriman!AA64</f>
        <v>0</v>
      </c>
      <c r="H60" s="5">
        <f t="shared" si="0"/>
        <v>0</v>
      </c>
    </row>
    <row r="61" spans="2:8" x14ac:dyDescent="0.2">
      <c r="B61" s="1"/>
      <c r="C61" s="1" t="s">
        <v>100</v>
      </c>
      <c r="D61" s="5">
        <v>0</v>
      </c>
      <c r="E61" s="5">
        <f>'Belanja Barang'!E61</f>
        <v>0</v>
      </c>
      <c r="F61" s="5">
        <v>0</v>
      </c>
      <c r="G61" s="27">
        <f>Pengiriman!AA65</f>
        <v>0</v>
      </c>
      <c r="H61" s="5">
        <f t="shared" si="0"/>
        <v>0</v>
      </c>
    </row>
    <row r="62" spans="2:8" x14ac:dyDescent="0.2">
      <c r="B62" s="1"/>
      <c r="C62" s="1" t="s">
        <v>101</v>
      </c>
      <c r="D62" s="5">
        <v>0</v>
      </c>
      <c r="E62" s="5">
        <f>'Belanja Barang'!E62</f>
        <v>0</v>
      </c>
      <c r="F62" s="5">
        <v>0</v>
      </c>
      <c r="G62" s="27">
        <f>Pengiriman!AA66</f>
        <v>0</v>
      </c>
      <c r="H62" s="5">
        <f t="shared" si="0"/>
        <v>0</v>
      </c>
    </row>
    <row r="63" spans="2:8" x14ac:dyDescent="0.2">
      <c r="B63" s="1"/>
      <c r="C63" s="1" t="s">
        <v>102</v>
      </c>
      <c r="D63" s="5">
        <v>0</v>
      </c>
      <c r="E63" s="5">
        <f>'Belanja Barang'!E63</f>
        <v>0</v>
      </c>
      <c r="F63" s="5">
        <v>0</v>
      </c>
      <c r="G63" s="27">
        <f>Pengiriman!AA67</f>
        <v>0</v>
      </c>
      <c r="H63" s="5">
        <f t="shared" si="0"/>
        <v>0</v>
      </c>
    </row>
    <row r="64" spans="2:8" x14ac:dyDescent="0.2">
      <c r="B64" s="1"/>
      <c r="C64" s="1" t="s">
        <v>103</v>
      </c>
      <c r="D64" s="5">
        <v>0</v>
      </c>
      <c r="E64" s="5">
        <f>'Belanja Barang'!E64</f>
        <v>0</v>
      </c>
      <c r="F64" s="5">
        <v>0</v>
      </c>
      <c r="G64" s="27">
        <f>Pengiriman!AA68</f>
        <v>0</v>
      </c>
      <c r="H64" s="5">
        <f t="shared" si="0"/>
        <v>0</v>
      </c>
    </row>
    <row r="65" spans="2:8" x14ac:dyDescent="0.2">
      <c r="B65" s="1"/>
      <c r="C65" s="1" t="s">
        <v>104</v>
      </c>
      <c r="D65" s="5">
        <v>0</v>
      </c>
      <c r="E65" s="5">
        <f>'Belanja Barang'!E65</f>
        <v>0</v>
      </c>
      <c r="F65" s="5">
        <v>0</v>
      </c>
      <c r="G65" s="27">
        <f>Pengiriman!AA69</f>
        <v>0</v>
      </c>
      <c r="H65" s="5">
        <f t="shared" si="0"/>
        <v>0</v>
      </c>
    </row>
    <row r="66" spans="2:8" x14ac:dyDescent="0.2">
      <c r="B66" s="1"/>
      <c r="C66" s="1" t="s">
        <v>105</v>
      </c>
      <c r="D66" s="5">
        <v>0</v>
      </c>
      <c r="E66" s="5">
        <f>'Belanja Barang'!E66</f>
        <v>0</v>
      </c>
      <c r="F66" s="5">
        <v>0</v>
      </c>
      <c r="G66" s="27">
        <f>Pengiriman!AA70</f>
        <v>0</v>
      </c>
      <c r="H66" s="5">
        <f t="shared" si="0"/>
        <v>0</v>
      </c>
    </row>
    <row r="67" spans="2:8" x14ac:dyDescent="0.2">
      <c r="B67" s="1"/>
      <c r="C67" s="1" t="s">
        <v>106</v>
      </c>
      <c r="D67" s="5">
        <v>0</v>
      </c>
      <c r="E67" s="5">
        <f>'Belanja Barang'!E67</f>
        <v>0</v>
      </c>
      <c r="F67" s="5">
        <v>0</v>
      </c>
      <c r="G67" s="27">
        <f>Pengiriman!AA71</f>
        <v>0</v>
      </c>
      <c r="H67" s="5">
        <f t="shared" si="0"/>
        <v>0</v>
      </c>
    </row>
    <row r="68" spans="2:8" x14ac:dyDescent="0.2">
      <c r="B68" s="1"/>
      <c r="C68" s="1" t="s">
        <v>107</v>
      </c>
      <c r="D68" s="5">
        <v>0</v>
      </c>
      <c r="E68" s="5">
        <f>'Belanja Barang'!E68</f>
        <v>0</v>
      </c>
      <c r="F68" s="5">
        <v>0</v>
      </c>
      <c r="G68" s="27">
        <f>Pengiriman!AA72</f>
        <v>0</v>
      </c>
      <c r="H68" s="5">
        <f t="shared" ref="H68:H70" si="1">(D68+E68) -(F68+G68)</f>
        <v>0</v>
      </c>
    </row>
    <row r="69" spans="2:8" x14ac:dyDescent="0.2">
      <c r="B69" s="1"/>
      <c r="C69" s="1" t="s">
        <v>108</v>
      </c>
      <c r="D69" s="5">
        <v>0</v>
      </c>
      <c r="E69" s="5">
        <f>'Belanja Barang'!E69</f>
        <v>0</v>
      </c>
      <c r="F69" s="5">
        <v>0</v>
      </c>
      <c r="G69" s="27">
        <f>Pengiriman!AA73</f>
        <v>0</v>
      </c>
      <c r="H69" s="5">
        <f t="shared" si="1"/>
        <v>0</v>
      </c>
    </row>
    <row r="70" spans="2:8" x14ac:dyDescent="0.2">
      <c r="B70" s="1"/>
      <c r="C70" s="1" t="s">
        <v>109</v>
      </c>
      <c r="D70" s="5">
        <v>0</v>
      </c>
      <c r="E70" s="5">
        <f>'Belanja Barang'!E70</f>
        <v>0</v>
      </c>
      <c r="F70" s="5">
        <v>0</v>
      </c>
      <c r="G70" s="27">
        <f>Pengiriman!AA74</f>
        <v>0</v>
      </c>
      <c r="H70" s="5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9AF5-FAF7-BB47-95AF-6712685E817C}">
  <dimension ref="B2:G71"/>
  <sheetViews>
    <sheetView topLeftCell="G1" zoomScaleNormal="60" zoomScaleSheetLayoutView="100" workbookViewId="0">
      <selection activeCell="K37" sqref="K37"/>
    </sheetView>
  </sheetViews>
  <sheetFormatPr defaultRowHeight="15" x14ac:dyDescent="0.2"/>
  <cols>
    <col min="2" max="2" width="10.35546875" bestFit="1" customWidth="1"/>
    <col min="4" max="4" width="13.31640625" bestFit="1" customWidth="1"/>
    <col min="6" max="6" width="8.7421875" bestFit="1" customWidth="1"/>
    <col min="7" max="7" width="13.1796875" bestFit="1" customWidth="1"/>
  </cols>
  <sheetData>
    <row r="2" spans="2:7" x14ac:dyDescent="0.2">
      <c r="B2" s="1" t="s">
        <v>0</v>
      </c>
      <c r="C2" s="1" t="s">
        <v>10</v>
      </c>
      <c r="D2" s="1" t="s">
        <v>11</v>
      </c>
      <c r="E2" s="1" t="s">
        <v>7</v>
      </c>
      <c r="F2" s="1" t="s">
        <v>12</v>
      </c>
      <c r="G2" s="1" t="s">
        <v>13</v>
      </c>
    </row>
    <row r="3" spans="2:7" x14ac:dyDescent="0.2">
      <c r="B3" s="2">
        <v>46310</v>
      </c>
      <c r="C3" s="1" t="s">
        <v>110</v>
      </c>
      <c r="D3" s="1" t="s">
        <v>26</v>
      </c>
      <c r="E3" s="5">
        <v>2600</v>
      </c>
      <c r="F3" s="32">
        <v>3500</v>
      </c>
      <c r="G3" s="28">
        <f>E3*F3</f>
        <v>9100000</v>
      </c>
    </row>
    <row r="4" spans="2:7" x14ac:dyDescent="0.2">
      <c r="B4" s="1"/>
      <c r="C4" s="1"/>
      <c r="D4" s="1" t="s">
        <v>27</v>
      </c>
      <c r="E4" s="5">
        <v>475</v>
      </c>
      <c r="F4" s="32">
        <v>9000</v>
      </c>
      <c r="G4" s="28">
        <f t="shared" ref="G4:G67" si="0">E4*F4</f>
        <v>4275000</v>
      </c>
    </row>
    <row r="5" spans="2:7" x14ac:dyDescent="0.2">
      <c r="B5" s="1"/>
      <c r="C5" s="1"/>
      <c r="D5" s="1" t="s">
        <v>28</v>
      </c>
      <c r="E5" s="5">
        <v>2600</v>
      </c>
      <c r="F5" s="32">
        <v>4500</v>
      </c>
      <c r="G5" s="28">
        <f t="shared" si="0"/>
        <v>11700000</v>
      </c>
    </row>
    <row r="6" spans="2:7" x14ac:dyDescent="0.2">
      <c r="B6" s="1"/>
      <c r="C6" s="1"/>
      <c r="D6" s="1" t="s">
        <v>29</v>
      </c>
      <c r="E6" s="5">
        <v>150</v>
      </c>
      <c r="F6" s="32">
        <v>17500</v>
      </c>
      <c r="G6" s="28">
        <f t="shared" si="0"/>
        <v>2625000</v>
      </c>
    </row>
    <row r="7" spans="2:7" x14ac:dyDescent="0.2">
      <c r="B7" s="1"/>
      <c r="C7" s="1"/>
      <c r="D7" s="1" t="s">
        <v>46</v>
      </c>
      <c r="E7" s="5"/>
      <c r="F7" s="32">
        <v>14000</v>
      </c>
      <c r="G7" s="28">
        <f t="shared" si="0"/>
        <v>0</v>
      </c>
    </row>
    <row r="8" spans="2:7" x14ac:dyDescent="0.2">
      <c r="B8" s="1"/>
      <c r="C8" s="1"/>
      <c r="D8" s="1" t="s">
        <v>47</v>
      </c>
      <c r="E8" s="5">
        <v>50</v>
      </c>
      <c r="F8" s="32">
        <v>25000</v>
      </c>
      <c r="G8" s="28">
        <f t="shared" si="0"/>
        <v>1250000</v>
      </c>
    </row>
    <row r="9" spans="2:7" x14ac:dyDescent="0.2">
      <c r="B9" s="1"/>
      <c r="C9" s="1"/>
      <c r="D9" s="1" t="s">
        <v>48</v>
      </c>
      <c r="E9" s="5">
        <v>120</v>
      </c>
      <c r="F9" s="32">
        <v>16000</v>
      </c>
      <c r="G9" s="28">
        <f t="shared" si="0"/>
        <v>1920000</v>
      </c>
    </row>
    <row r="10" spans="2:7" x14ac:dyDescent="0.2">
      <c r="B10" s="1"/>
      <c r="C10" s="1"/>
      <c r="D10" s="1" t="s">
        <v>49</v>
      </c>
      <c r="E10" s="5"/>
      <c r="F10" s="32"/>
      <c r="G10" s="28">
        <f t="shared" si="0"/>
        <v>0</v>
      </c>
    </row>
    <row r="11" spans="2:7" x14ac:dyDescent="0.2">
      <c r="B11" s="1"/>
      <c r="C11" s="1" t="s">
        <v>111</v>
      </c>
      <c r="D11" s="1" t="s">
        <v>50</v>
      </c>
      <c r="E11" s="5">
        <v>2000</v>
      </c>
      <c r="F11" s="32">
        <v>3500</v>
      </c>
      <c r="G11" s="28">
        <f t="shared" si="0"/>
        <v>7000000</v>
      </c>
    </row>
    <row r="12" spans="2:7" x14ac:dyDescent="0.2">
      <c r="B12" s="1"/>
      <c r="C12" s="1"/>
      <c r="D12" s="1" t="s">
        <v>51</v>
      </c>
      <c r="E12" s="5"/>
      <c r="F12" s="32"/>
      <c r="G12" s="28">
        <f t="shared" si="0"/>
        <v>0</v>
      </c>
    </row>
    <row r="13" spans="2:7" x14ac:dyDescent="0.2">
      <c r="B13" s="1"/>
      <c r="C13" s="1"/>
      <c r="D13" s="1" t="s">
        <v>52</v>
      </c>
      <c r="E13" s="5"/>
      <c r="F13" s="32"/>
      <c r="G13" s="28">
        <f t="shared" si="0"/>
        <v>0</v>
      </c>
    </row>
    <row r="14" spans="2:7" x14ac:dyDescent="0.2">
      <c r="B14" s="1"/>
      <c r="C14" s="1"/>
      <c r="D14" s="1" t="s">
        <v>53</v>
      </c>
      <c r="E14" s="5"/>
      <c r="F14" s="32"/>
      <c r="G14" s="28">
        <f t="shared" si="0"/>
        <v>0</v>
      </c>
    </row>
    <row r="15" spans="2:7" x14ac:dyDescent="0.2">
      <c r="B15" s="1"/>
      <c r="C15" s="1" t="s">
        <v>112</v>
      </c>
      <c r="D15" s="1" t="s">
        <v>54</v>
      </c>
      <c r="E15" s="5">
        <v>40</v>
      </c>
      <c r="F15" s="32">
        <v>6500</v>
      </c>
      <c r="G15" s="28">
        <f t="shared" si="0"/>
        <v>260000</v>
      </c>
    </row>
    <row r="16" spans="2:7" x14ac:dyDescent="0.2">
      <c r="B16" s="1"/>
      <c r="C16" s="1"/>
      <c r="D16" s="1" t="s">
        <v>55</v>
      </c>
      <c r="E16" s="5">
        <v>25</v>
      </c>
      <c r="F16" s="32">
        <v>3500</v>
      </c>
      <c r="G16" s="28">
        <f t="shared" si="0"/>
        <v>87500</v>
      </c>
    </row>
    <row r="17" spans="2:7" x14ac:dyDescent="0.2">
      <c r="B17" s="1"/>
      <c r="C17" s="1" t="s">
        <v>113</v>
      </c>
      <c r="D17" s="1" t="s">
        <v>56</v>
      </c>
      <c r="E17" s="5"/>
      <c r="F17" s="32"/>
      <c r="G17" s="28">
        <f t="shared" si="0"/>
        <v>0</v>
      </c>
    </row>
    <row r="18" spans="2:7" x14ac:dyDescent="0.2">
      <c r="B18" s="1"/>
      <c r="C18" s="1"/>
      <c r="D18" s="1" t="s">
        <v>57</v>
      </c>
      <c r="E18" s="5"/>
      <c r="F18" s="32"/>
      <c r="G18" s="28">
        <f t="shared" si="0"/>
        <v>0</v>
      </c>
    </row>
    <row r="19" spans="2:7" x14ac:dyDescent="0.2">
      <c r="B19" s="1"/>
      <c r="C19" s="1" t="s">
        <v>114</v>
      </c>
      <c r="D19" s="1" t="s">
        <v>58</v>
      </c>
      <c r="E19" s="5"/>
      <c r="F19" s="32"/>
      <c r="G19" s="28">
        <f t="shared" si="0"/>
        <v>0</v>
      </c>
    </row>
    <row r="20" spans="2:7" x14ac:dyDescent="0.2">
      <c r="B20" s="1"/>
      <c r="C20" s="1"/>
      <c r="D20" s="1" t="s">
        <v>59</v>
      </c>
      <c r="E20" s="5"/>
      <c r="F20" s="32"/>
      <c r="G20" s="28">
        <f t="shared" si="0"/>
        <v>0</v>
      </c>
    </row>
    <row r="21" spans="2:7" x14ac:dyDescent="0.2">
      <c r="B21" s="1"/>
      <c r="C21" s="1"/>
      <c r="D21" s="1" t="s">
        <v>60</v>
      </c>
      <c r="E21" s="5"/>
      <c r="F21" s="32"/>
      <c r="G21" s="28">
        <f t="shared" si="0"/>
        <v>0</v>
      </c>
    </row>
    <row r="22" spans="2:7" x14ac:dyDescent="0.2">
      <c r="B22" s="1"/>
      <c r="C22" s="1"/>
      <c r="D22" s="1" t="s">
        <v>61</v>
      </c>
      <c r="E22" s="5"/>
      <c r="F22" s="32"/>
      <c r="G22" s="28">
        <f t="shared" si="0"/>
        <v>0</v>
      </c>
    </row>
    <row r="23" spans="2:7" x14ac:dyDescent="0.2">
      <c r="B23" s="1"/>
      <c r="C23" s="1"/>
      <c r="D23" s="1" t="s">
        <v>62</v>
      </c>
      <c r="E23" s="5"/>
      <c r="F23" s="32"/>
      <c r="G23" s="28">
        <f t="shared" si="0"/>
        <v>0</v>
      </c>
    </row>
    <row r="24" spans="2:7" x14ac:dyDescent="0.2">
      <c r="B24" s="1"/>
      <c r="C24" s="1"/>
      <c r="D24" s="1" t="s">
        <v>63</v>
      </c>
      <c r="E24" s="5"/>
      <c r="F24" s="32"/>
      <c r="G24" s="28">
        <f t="shared" si="0"/>
        <v>0</v>
      </c>
    </row>
    <row r="25" spans="2:7" x14ac:dyDescent="0.2">
      <c r="B25" s="1"/>
      <c r="C25" s="1"/>
      <c r="D25" s="1" t="s">
        <v>64</v>
      </c>
      <c r="E25" s="5"/>
      <c r="F25" s="32"/>
      <c r="G25" s="28">
        <f t="shared" si="0"/>
        <v>0</v>
      </c>
    </row>
    <row r="26" spans="2:7" x14ac:dyDescent="0.2">
      <c r="B26" s="1"/>
      <c r="C26" s="1"/>
      <c r="D26" s="1" t="s">
        <v>65</v>
      </c>
      <c r="E26" s="5"/>
      <c r="F26" s="32"/>
      <c r="G26" s="28">
        <f t="shared" si="0"/>
        <v>0</v>
      </c>
    </row>
    <row r="27" spans="2:7" x14ac:dyDescent="0.2">
      <c r="B27" s="1"/>
      <c r="C27" s="1"/>
      <c r="D27" s="1" t="s">
        <v>66</v>
      </c>
      <c r="E27" s="5"/>
      <c r="F27" s="32"/>
      <c r="G27" s="28">
        <f t="shared" si="0"/>
        <v>0</v>
      </c>
    </row>
    <row r="28" spans="2:7" x14ac:dyDescent="0.2">
      <c r="B28" s="1"/>
      <c r="C28" s="1"/>
      <c r="D28" s="1" t="s">
        <v>67</v>
      </c>
      <c r="E28" s="5"/>
      <c r="F28" s="32"/>
      <c r="G28" s="28">
        <f t="shared" si="0"/>
        <v>0</v>
      </c>
    </row>
    <row r="29" spans="2:7" x14ac:dyDescent="0.2">
      <c r="B29" s="1"/>
      <c r="C29" s="1"/>
      <c r="D29" s="1" t="s">
        <v>68</v>
      </c>
      <c r="E29" s="5"/>
      <c r="F29" s="32"/>
      <c r="G29" s="28">
        <f t="shared" si="0"/>
        <v>0</v>
      </c>
    </row>
    <row r="30" spans="2:7" x14ac:dyDescent="0.2">
      <c r="B30" s="1"/>
      <c r="C30" s="1" t="s">
        <v>115</v>
      </c>
      <c r="D30" s="1" t="s">
        <v>69</v>
      </c>
      <c r="E30" s="5">
        <v>600</v>
      </c>
      <c r="F30" s="32">
        <v>4500</v>
      </c>
      <c r="G30" s="28">
        <f t="shared" si="0"/>
        <v>2700000</v>
      </c>
    </row>
    <row r="31" spans="2:7" x14ac:dyDescent="0.2">
      <c r="B31" s="1"/>
      <c r="C31" s="1"/>
      <c r="D31" s="1" t="s">
        <v>70</v>
      </c>
      <c r="E31" s="5"/>
      <c r="F31" s="32"/>
      <c r="G31" s="28">
        <f t="shared" si="0"/>
        <v>0</v>
      </c>
    </row>
    <row r="32" spans="2:7" x14ac:dyDescent="0.2">
      <c r="B32" s="1"/>
      <c r="C32" s="1"/>
      <c r="D32" s="1" t="s">
        <v>71</v>
      </c>
      <c r="E32" s="5"/>
      <c r="F32" s="32"/>
      <c r="G32" s="28">
        <f t="shared" si="0"/>
        <v>0</v>
      </c>
    </row>
    <row r="33" spans="2:7" x14ac:dyDescent="0.2">
      <c r="B33" s="1"/>
      <c r="C33" s="1" t="s">
        <v>116</v>
      </c>
      <c r="D33" s="1" t="s">
        <v>72</v>
      </c>
      <c r="E33" s="5"/>
      <c r="F33" s="32"/>
      <c r="G33" s="28">
        <f t="shared" si="0"/>
        <v>0</v>
      </c>
    </row>
    <row r="34" spans="2:7" x14ac:dyDescent="0.2">
      <c r="B34" s="1"/>
      <c r="C34" s="1"/>
      <c r="D34" s="1" t="s">
        <v>73</v>
      </c>
      <c r="E34" s="5">
        <v>1500</v>
      </c>
      <c r="F34" s="32">
        <v>4500</v>
      </c>
      <c r="G34" s="28">
        <f t="shared" si="0"/>
        <v>6750000</v>
      </c>
    </row>
    <row r="35" spans="2:7" x14ac:dyDescent="0.2">
      <c r="B35" s="1"/>
      <c r="C35" s="1"/>
      <c r="D35" s="1" t="s">
        <v>74</v>
      </c>
      <c r="E35" s="5">
        <v>10</v>
      </c>
      <c r="F35" s="32">
        <v>5500</v>
      </c>
      <c r="G35" s="28">
        <f t="shared" si="0"/>
        <v>55000</v>
      </c>
    </row>
    <row r="36" spans="2:7" x14ac:dyDescent="0.2">
      <c r="B36" s="1"/>
      <c r="C36" s="1" t="s">
        <v>117</v>
      </c>
      <c r="D36" s="1" t="s">
        <v>75</v>
      </c>
      <c r="E36" s="5"/>
      <c r="F36" s="32"/>
      <c r="G36" s="28">
        <f t="shared" si="0"/>
        <v>0</v>
      </c>
    </row>
    <row r="37" spans="2:7" x14ac:dyDescent="0.2">
      <c r="B37" s="1"/>
      <c r="C37" s="1"/>
      <c r="D37" s="1" t="s">
        <v>76</v>
      </c>
      <c r="E37" s="5"/>
      <c r="F37" s="32"/>
      <c r="G37" s="28">
        <f t="shared" si="0"/>
        <v>0</v>
      </c>
    </row>
    <row r="38" spans="2:7" x14ac:dyDescent="0.2">
      <c r="B38" s="1"/>
      <c r="C38" s="1"/>
      <c r="D38" s="1" t="s">
        <v>77</v>
      </c>
      <c r="E38" s="5"/>
      <c r="F38" s="32"/>
      <c r="G38" s="28">
        <f t="shared" si="0"/>
        <v>0</v>
      </c>
    </row>
    <row r="39" spans="2:7" x14ac:dyDescent="0.2">
      <c r="B39" s="1"/>
      <c r="C39" s="1"/>
      <c r="D39" s="1" t="s">
        <v>78</v>
      </c>
      <c r="E39" s="5"/>
      <c r="F39" s="32"/>
      <c r="G39" s="28">
        <f t="shared" si="0"/>
        <v>0</v>
      </c>
    </row>
    <row r="40" spans="2:7" x14ac:dyDescent="0.2">
      <c r="B40" s="1"/>
      <c r="C40" s="1"/>
      <c r="D40" s="1" t="s">
        <v>79</v>
      </c>
      <c r="E40" s="5"/>
      <c r="F40" s="32"/>
      <c r="G40" s="28">
        <f t="shared" si="0"/>
        <v>0</v>
      </c>
    </row>
    <row r="41" spans="2:7" x14ac:dyDescent="0.2">
      <c r="B41" s="1"/>
      <c r="C41" s="1"/>
      <c r="D41" s="1" t="s">
        <v>80</v>
      </c>
      <c r="E41" s="5"/>
      <c r="F41" s="32"/>
      <c r="G41" s="28">
        <f t="shared" si="0"/>
        <v>0</v>
      </c>
    </row>
    <row r="42" spans="2:7" x14ac:dyDescent="0.2">
      <c r="B42" s="1"/>
      <c r="C42" s="1"/>
      <c r="D42" s="1" t="s">
        <v>81</v>
      </c>
      <c r="E42" s="5"/>
      <c r="F42" s="32"/>
      <c r="G42" s="28">
        <f t="shared" si="0"/>
        <v>0</v>
      </c>
    </row>
    <row r="43" spans="2:7" x14ac:dyDescent="0.2">
      <c r="B43" s="1"/>
      <c r="C43" s="1" t="s">
        <v>118</v>
      </c>
      <c r="D43" s="1" t="s">
        <v>82</v>
      </c>
      <c r="E43" s="5"/>
      <c r="F43" s="32"/>
      <c r="G43" s="28">
        <f t="shared" si="0"/>
        <v>0</v>
      </c>
    </row>
    <row r="44" spans="2:7" x14ac:dyDescent="0.2">
      <c r="B44" s="1"/>
      <c r="C44" s="1" t="s">
        <v>119</v>
      </c>
      <c r="D44" s="1" t="s">
        <v>83</v>
      </c>
      <c r="E44" s="5"/>
      <c r="F44" s="32"/>
      <c r="G44" s="28">
        <f t="shared" si="0"/>
        <v>0</v>
      </c>
    </row>
    <row r="45" spans="2:7" x14ac:dyDescent="0.2">
      <c r="B45" s="1"/>
      <c r="C45" s="1"/>
      <c r="D45" s="1" t="s">
        <v>84</v>
      </c>
      <c r="E45" s="5"/>
      <c r="F45" s="32"/>
      <c r="G45" s="28">
        <f t="shared" si="0"/>
        <v>0</v>
      </c>
    </row>
    <row r="46" spans="2:7" x14ac:dyDescent="0.2">
      <c r="B46" s="1"/>
      <c r="C46" s="1" t="s">
        <v>120</v>
      </c>
      <c r="D46" s="1" t="s">
        <v>85</v>
      </c>
      <c r="E46" s="5"/>
      <c r="F46" s="32"/>
      <c r="G46" s="28">
        <f t="shared" si="0"/>
        <v>0</v>
      </c>
    </row>
    <row r="47" spans="2:7" x14ac:dyDescent="0.2">
      <c r="B47" s="1"/>
      <c r="C47" s="1"/>
      <c r="D47" s="1" t="s">
        <v>86</v>
      </c>
      <c r="E47" s="5"/>
      <c r="F47" s="32"/>
      <c r="G47" s="28">
        <f t="shared" si="0"/>
        <v>0</v>
      </c>
    </row>
    <row r="48" spans="2:7" x14ac:dyDescent="0.2">
      <c r="B48" s="1"/>
      <c r="C48" s="1"/>
      <c r="D48" s="1" t="s">
        <v>87</v>
      </c>
      <c r="E48" s="5"/>
      <c r="F48" s="32"/>
      <c r="G48" s="28">
        <f t="shared" si="0"/>
        <v>0</v>
      </c>
    </row>
    <row r="49" spans="2:7" x14ac:dyDescent="0.2">
      <c r="B49" s="1"/>
      <c r="C49" s="1"/>
      <c r="D49" s="1" t="s">
        <v>88</v>
      </c>
      <c r="E49" s="5"/>
      <c r="F49" s="32"/>
      <c r="G49" s="28">
        <f t="shared" si="0"/>
        <v>0</v>
      </c>
    </row>
    <row r="50" spans="2:7" x14ac:dyDescent="0.2">
      <c r="B50" s="1"/>
      <c r="C50" s="1"/>
      <c r="D50" s="1" t="s">
        <v>89</v>
      </c>
      <c r="E50" s="5"/>
      <c r="F50" s="32"/>
      <c r="G50" s="28">
        <f t="shared" si="0"/>
        <v>0</v>
      </c>
    </row>
    <row r="51" spans="2:7" x14ac:dyDescent="0.2">
      <c r="B51" s="1"/>
      <c r="C51" s="1"/>
      <c r="D51" s="1" t="s">
        <v>90</v>
      </c>
      <c r="E51" s="5"/>
      <c r="F51" s="32"/>
      <c r="G51" s="28">
        <f t="shared" si="0"/>
        <v>0</v>
      </c>
    </row>
    <row r="52" spans="2:7" x14ac:dyDescent="0.2">
      <c r="B52" s="1"/>
      <c r="C52" s="1" t="s">
        <v>121</v>
      </c>
      <c r="D52" s="1" t="s">
        <v>91</v>
      </c>
      <c r="E52" s="5"/>
      <c r="F52" s="32"/>
      <c r="G52" s="28">
        <f t="shared" si="0"/>
        <v>0</v>
      </c>
    </row>
    <row r="53" spans="2:7" x14ac:dyDescent="0.2">
      <c r="B53" s="1"/>
      <c r="C53" s="1"/>
      <c r="D53" s="1" t="s">
        <v>92</v>
      </c>
      <c r="E53" s="5"/>
      <c r="F53" s="32"/>
      <c r="G53" s="28">
        <f t="shared" si="0"/>
        <v>0</v>
      </c>
    </row>
    <row r="54" spans="2:7" x14ac:dyDescent="0.2">
      <c r="B54" s="1"/>
      <c r="C54" s="1"/>
      <c r="D54" s="1" t="s">
        <v>93</v>
      </c>
      <c r="E54" s="5"/>
      <c r="F54" s="32"/>
      <c r="G54" s="28">
        <f t="shared" si="0"/>
        <v>0</v>
      </c>
    </row>
    <row r="55" spans="2:7" x14ac:dyDescent="0.2">
      <c r="B55" s="1"/>
      <c r="C55" s="1"/>
      <c r="D55" s="1" t="s">
        <v>94</v>
      </c>
      <c r="E55" s="5"/>
      <c r="F55" s="32"/>
      <c r="G55" s="28">
        <f t="shared" si="0"/>
        <v>0</v>
      </c>
    </row>
    <row r="56" spans="2:7" x14ac:dyDescent="0.2">
      <c r="B56" s="1"/>
      <c r="C56" s="1"/>
      <c r="D56" s="1" t="s">
        <v>95</v>
      </c>
      <c r="E56" s="5"/>
      <c r="F56" s="32"/>
      <c r="G56" s="28">
        <f t="shared" si="0"/>
        <v>0</v>
      </c>
    </row>
    <row r="57" spans="2:7" x14ac:dyDescent="0.2">
      <c r="B57" s="1"/>
      <c r="C57" s="1"/>
      <c r="D57" s="1" t="s">
        <v>96</v>
      </c>
      <c r="E57" s="5"/>
      <c r="F57" s="32"/>
      <c r="G57" s="28">
        <f t="shared" si="0"/>
        <v>0</v>
      </c>
    </row>
    <row r="58" spans="2:7" x14ac:dyDescent="0.2">
      <c r="B58" s="1"/>
      <c r="C58" s="1" t="s">
        <v>122</v>
      </c>
      <c r="D58" s="1" t="s">
        <v>97</v>
      </c>
      <c r="E58" s="5"/>
      <c r="F58" s="32"/>
      <c r="G58" s="28">
        <f t="shared" si="0"/>
        <v>0</v>
      </c>
    </row>
    <row r="59" spans="2:7" x14ac:dyDescent="0.2">
      <c r="B59" s="1"/>
      <c r="C59" s="1"/>
      <c r="D59" s="1" t="s">
        <v>98</v>
      </c>
      <c r="E59" s="5"/>
      <c r="F59" s="32"/>
      <c r="G59" s="28">
        <f t="shared" si="0"/>
        <v>0</v>
      </c>
    </row>
    <row r="60" spans="2:7" x14ac:dyDescent="0.2">
      <c r="B60" s="1"/>
      <c r="C60" s="1" t="s">
        <v>123</v>
      </c>
      <c r="D60" s="1" t="s">
        <v>99</v>
      </c>
      <c r="E60" s="5"/>
      <c r="F60" s="32"/>
      <c r="G60" s="28">
        <f t="shared" si="0"/>
        <v>0</v>
      </c>
    </row>
    <row r="61" spans="2:7" x14ac:dyDescent="0.2">
      <c r="B61" s="1"/>
      <c r="C61" s="1"/>
      <c r="D61" s="1" t="s">
        <v>100</v>
      </c>
      <c r="E61" s="5"/>
      <c r="F61" s="32"/>
      <c r="G61" s="28">
        <f t="shared" si="0"/>
        <v>0</v>
      </c>
    </row>
    <row r="62" spans="2:7" x14ac:dyDescent="0.2">
      <c r="B62" s="1"/>
      <c r="C62" s="1" t="s">
        <v>124</v>
      </c>
      <c r="D62" s="1" t="s">
        <v>101</v>
      </c>
      <c r="E62" s="5"/>
      <c r="F62" s="32"/>
      <c r="G62" s="28">
        <f t="shared" si="0"/>
        <v>0</v>
      </c>
    </row>
    <row r="63" spans="2:7" x14ac:dyDescent="0.2">
      <c r="B63" s="1"/>
      <c r="C63" s="1"/>
      <c r="D63" s="1" t="s">
        <v>102</v>
      </c>
      <c r="E63" s="5"/>
      <c r="F63" s="32"/>
      <c r="G63" s="28">
        <f t="shared" si="0"/>
        <v>0</v>
      </c>
    </row>
    <row r="64" spans="2:7" x14ac:dyDescent="0.2">
      <c r="B64" s="1"/>
      <c r="C64" s="1"/>
      <c r="D64" s="1" t="s">
        <v>103</v>
      </c>
      <c r="E64" s="5"/>
      <c r="F64" s="32"/>
      <c r="G64" s="28">
        <f t="shared" si="0"/>
        <v>0</v>
      </c>
    </row>
    <row r="65" spans="2:7" x14ac:dyDescent="0.2">
      <c r="B65" s="1"/>
      <c r="C65" s="1"/>
      <c r="D65" s="1" t="s">
        <v>104</v>
      </c>
      <c r="E65" s="5"/>
      <c r="F65" s="32"/>
      <c r="G65" s="28">
        <f t="shared" si="0"/>
        <v>0</v>
      </c>
    </row>
    <row r="66" spans="2:7" x14ac:dyDescent="0.2">
      <c r="B66" s="1"/>
      <c r="C66" s="1" t="s">
        <v>125</v>
      </c>
      <c r="D66" s="1" t="s">
        <v>105</v>
      </c>
      <c r="E66" s="5">
        <v>0</v>
      </c>
      <c r="F66" s="32">
        <v>3300</v>
      </c>
      <c r="G66" s="28">
        <f t="shared" si="0"/>
        <v>0</v>
      </c>
    </row>
    <row r="67" spans="2:7" x14ac:dyDescent="0.2">
      <c r="B67" s="1"/>
      <c r="C67" s="1"/>
      <c r="D67" s="1" t="s">
        <v>106</v>
      </c>
      <c r="E67" s="5">
        <v>0</v>
      </c>
      <c r="F67" s="32">
        <v>3300</v>
      </c>
      <c r="G67" s="28">
        <f t="shared" si="0"/>
        <v>0</v>
      </c>
    </row>
    <row r="68" spans="2:7" x14ac:dyDescent="0.2">
      <c r="B68" s="1"/>
      <c r="C68" s="1"/>
      <c r="D68" s="1" t="s">
        <v>107</v>
      </c>
      <c r="E68" s="5">
        <v>0</v>
      </c>
      <c r="F68" s="32">
        <v>3300</v>
      </c>
      <c r="G68" s="28">
        <f t="shared" ref="G68:G70" si="1">E68*F68</f>
        <v>0</v>
      </c>
    </row>
    <row r="69" spans="2:7" x14ac:dyDescent="0.2">
      <c r="B69" s="1"/>
      <c r="C69" s="1"/>
      <c r="D69" s="1" t="s">
        <v>108</v>
      </c>
      <c r="E69" s="5">
        <v>0</v>
      </c>
      <c r="F69" s="32">
        <v>3300</v>
      </c>
      <c r="G69" s="28">
        <f t="shared" si="1"/>
        <v>0</v>
      </c>
    </row>
    <row r="70" spans="2:7" x14ac:dyDescent="0.2">
      <c r="B70" s="1"/>
      <c r="C70" s="1" t="s">
        <v>126</v>
      </c>
      <c r="D70" s="1" t="s">
        <v>109</v>
      </c>
      <c r="E70" s="5">
        <v>0</v>
      </c>
      <c r="F70" s="32">
        <v>23500</v>
      </c>
      <c r="G70" s="28">
        <f t="shared" si="1"/>
        <v>0</v>
      </c>
    </row>
    <row r="71" spans="2:7" x14ac:dyDescent="0.2">
      <c r="F71" t="s">
        <v>127</v>
      </c>
      <c r="G71" s="4">
        <f>SUM(G3:G70)</f>
        <v>47722500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334B-14ED-804A-8267-13B512813BBA}">
  <dimension ref="B2:AA74"/>
  <sheetViews>
    <sheetView topLeftCell="E1" zoomScaleNormal="60" zoomScaleSheetLayoutView="100" workbookViewId="0">
      <selection activeCell="K34" sqref="K34"/>
    </sheetView>
  </sheetViews>
  <sheetFormatPr defaultRowHeight="15" x14ac:dyDescent="0.2"/>
  <cols>
    <col min="2" max="2" width="10.35546875" bestFit="1" customWidth="1"/>
    <col min="6" max="6" width="13.31640625" bestFit="1" customWidth="1"/>
    <col min="7" max="7" width="9.953125" bestFit="1" customWidth="1"/>
    <col min="9" max="9" width="13.5859375" bestFit="1" customWidth="1"/>
    <col min="11" max="11" width="13.5859375" bestFit="1" customWidth="1"/>
    <col min="13" max="13" width="13.5859375" bestFit="1" customWidth="1"/>
    <col min="15" max="15" width="13.5859375" bestFit="1" customWidth="1"/>
    <col min="17" max="17" width="13.5859375" bestFit="1" customWidth="1"/>
    <col min="19" max="19" width="13.5859375" bestFit="1" customWidth="1"/>
    <col min="21" max="21" width="13.5859375" bestFit="1" customWidth="1"/>
    <col min="23" max="23" width="13.5859375" bestFit="1" customWidth="1"/>
    <col min="25" max="25" width="13.5859375" bestFit="1" customWidth="1"/>
  </cols>
  <sheetData>
    <row r="2" spans="2:27" x14ac:dyDescent="0.2">
      <c r="B2" s="1" t="s">
        <v>35</v>
      </c>
      <c r="C2" s="1" t="s">
        <v>36</v>
      </c>
      <c r="D2" s="1" t="s">
        <v>30</v>
      </c>
      <c r="E2" s="1" t="s">
        <v>31</v>
      </c>
      <c r="F2" s="1" t="s">
        <v>11</v>
      </c>
      <c r="G2" s="1" t="s">
        <v>37</v>
      </c>
      <c r="I2" s="9" t="s">
        <v>0</v>
      </c>
      <c r="J2" s="15"/>
      <c r="K2" s="9" t="s">
        <v>0</v>
      </c>
      <c r="L2" s="15"/>
      <c r="M2" s="9" t="s">
        <v>0</v>
      </c>
      <c r="N2" s="15"/>
      <c r="O2" s="9" t="s">
        <v>0</v>
      </c>
      <c r="P2" s="15"/>
      <c r="Q2" s="9" t="s">
        <v>0</v>
      </c>
      <c r="R2" s="15"/>
      <c r="S2" s="9" t="s">
        <v>0</v>
      </c>
      <c r="T2" s="15"/>
      <c r="U2" s="9" t="s">
        <v>0</v>
      </c>
      <c r="V2" s="15"/>
      <c r="W2" s="9" t="s">
        <v>0</v>
      </c>
      <c r="X2" s="10"/>
      <c r="Y2" s="9" t="s">
        <v>0</v>
      </c>
      <c r="Z2" s="10"/>
    </row>
    <row r="3" spans="2:27" x14ac:dyDescent="0.2">
      <c r="B3" s="2">
        <v>46311</v>
      </c>
      <c r="C3" s="1"/>
      <c r="D3" s="1" t="s">
        <v>33</v>
      </c>
      <c r="E3" s="1" t="s">
        <v>34</v>
      </c>
      <c r="F3" s="1" t="s">
        <v>26</v>
      </c>
      <c r="G3" s="5">
        <v>100</v>
      </c>
      <c r="I3" s="11" t="s">
        <v>30</v>
      </c>
      <c r="J3" s="16" t="s">
        <v>33</v>
      </c>
      <c r="K3" s="11" t="s">
        <v>30</v>
      </c>
      <c r="L3" s="16" t="s">
        <v>128</v>
      </c>
      <c r="M3" s="11" t="s">
        <v>30</v>
      </c>
      <c r="N3" s="16" t="s">
        <v>129</v>
      </c>
      <c r="O3" s="11" t="s">
        <v>30</v>
      </c>
      <c r="P3" s="16" t="s">
        <v>130</v>
      </c>
      <c r="Q3" s="11" t="s">
        <v>30</v>
      </c>
      <c r="R3" s="16" t="s">
        <v>131</v>
      </c>
      <c r="S3" s="11" t="s">
        <v>30</v>
      </c>
      <c r="T3" s="16" t="s">
        <v>132</v>
      </c>
      <c r="U3" s="11" t="s">
        <v>30</v>
      </c>
      <c r="V3" s="16" t="s">
        <v>133</v>
      </c>
      <c r="W3" s="11" t="s">
        <v>30</v>
      </c>
      <c r="X3" s="12" t="s">
        <v>134</v>
      </c>
      <c r="Y3" s="11" t="s">
        <v>30</v>
      </c>
      <c r="Z3" s="12" t="s">
        <v>135</v>
      </c>
    </row>
    <row r="4" spans="2:27" x14ac:dyDescent="0.2">
      <c r="B4" s="1"/>
      <c r="C4" s="1"/>
      <c r="D4" s="1"/>
      <c r="E4" s="1"/>
      <c r="F4" s="1" t="s">
        <v>27</v>
      </c>
      <c r="G4" s="5">
        <v>100</v>
      </c>
      <c r="I4" s="11" t="s">
        <v>38</v>
      </c>
      <c r="J4" s="16"/>
      <c r="K4" s="11" t="s">
        <v>38</v>
      </c>
      <c r="L4" s="16"/>
      <c r="M4" s="11" t="s">
        <v>38</v>
      </c>
      <c r="N4" s="16"/>
      <c r="O4" s="11" t="s">
        <v>38</v>
      </c>
      <c r="P4" s="16"/>
      <c r="Q4" s="11" t="s">
        <v>38</v>
      </c>
      <c r="R4" s="16"/>
      <c r="S4" s="11" t="s">
        <v>38</v>
      </c>
      <c r="T4" s="16"/>
      <c r="U4" s="11" t="s">
        <v>38</v>
      </c>
      <c r="V4" s="16"/>
      <c r="W4" s="11" t="s">
        <v>38</v>
      </c>
      <c r="X4" s="12"/>
      <c r="Y4" s="11" t="s">
        <v>38</v>
      </c>
      <c r="Z4" s="12"/>
    </row>
    <row r="5" spans="2:27" x14ac:dyDescent="0.2">
      <c r="B5" s="1"/>
      <c r="C5" s="1"/>
      <c r="D5" s="1"/>
      <c r="E5" s="1"/>
      <c r="F5" s="1" t="s">
        <v>28</v>
      </c>
      <c r="G5" s="5">
        <v>50</v>
      </c>
      <c r="I5" s="11"/>
      <c r="J5" s="16"/>
      <c r="K5" s="11"/>
      <c r="L5" s="16"/>
      <c r="M5" s="11"/>
      <c r="N5" s="16"/>
      <c r="O5" s="11"/>
      <c r="P5" s="16"/>
      <c r="Q5" s="11"/>
      <c r="R5" s="16"/>
      <c r="S5" s="18"/>
      <c r="T5" s="20"/>
      <c r="U5" s="11"/>
      <c r="V5" s="16"/>
      <c r="W5" s="11"/>
      <c r="X5" s="12"/>
      <c r="Y5" s="11"/>
      <c r="Z5" s="12"/>
    </row>
    <row r="6" spans="2:27" x14ac:dyDescent="0.2">
      <c r="B6" s="1"/>
      <c r="C6" s="1"/>
      <c r="D6" s="1"/>
      <c r="E6" s="1"/>
      <c r="F6" s="1" t="s">
        <v>29</v>
      </c>
      <c r="G6" s="5">
        <v>10</v>
      </c>
      <c r="I6" s="13" t="s">
        <v>11</v>
      </c>
      <c r="J6" s="17" t="s">
        <v>37</v>
      </c>
      <c r="K6" s="13" t="s">
        <v>11</v>
      </c>
      <c r="L6" s="17" t="s">
        <v>37</v>
      </c>
      <c r="M6" s="13" t="s">
        <v>11</v>
      </c>
      <c r="N6" s="17" t="s">
        <v>37</v>
      </c>
      <c r="O6" s="13" t="s">
        <v>11</v>
      </c>
      <c r="P6" s="17" t="s">
        <v>37</v>
      </c>
      <c r="Q6" s="13" t="s">
        <v>11</v>
      </c>
      <c r="R6" s="17" t="s">
        <v>37</v>
      </c>
      <c r="S6" s="13" t="s">
        <v>11</v>
      </c>
      <c r="T6" s="17" t="s">
        <v>37</v>
      </c>
      <c r="U6" s="13" t="s">
        <v>11</v>
      </c>
      <c r="V6" s="17" t="s">
        <v>37</v>
      </c>
      <c r="W6" s="13" t="s">
        <v>11</v>
      </c>
      <c r="X6" s="17" t="s">
        <v>37</v>
      </c>
      <c r="Y6" s="13" t="s">
        <v>11</v>
      </c>
      <c r="Z6" s="17" t="s">
        <v>37</v>
      </c>
      <c r="AA6" s="29" t="s">
        <v>7</v>
      </c>
    </row>
    <row r="7" spans="2:27" x14ac:dyDescent="0.2">
      <c r="B7" s="1"/>
      <c r="C7" s="1"/>
      <c r="D7" s="1"/>
      <c r="E7" s="1"/>
      <c r="F7" s="1" t="s">
        <v>46</v>
      </c>
      <c r="G7" s="1"/>
      <c r="I7" s="7" t="s">
        <v>26</v>
      </c>
      <c r="J7" s="14"/>
      <c r="K7" s="7" t="s">
        <v>26</v>
      </c>
      <c r="L7" s="14"/>
      <c r="M7" s="7" t="s">
        <v>26</v>
      </c>
      <c r="N7" s="14"/>
      <c r="O7" s="7" t="s">
        <v>26</v>
      </c>
      <c r="P7" s="14"/>
      <c r="Q7" s="7" t="s">
        <v>26</v>
      </c>
      <c r="R7" s="14"/>
      <c r="S7" s="1" t="s">
        <v>26</v>
      </c>
      <c r="T7" s="22"/>
      <c r="U7" s="1" t="s">
        <v>26</v>
      </c>
      <c r="V7" s="22"/>
      <c r="W7" s="1" t="s">
        <v>26</v>
      </c>
      <c r="X7" s="5"/>
      <c r="Y7" s="1" t="s">
        <v>26</v>
      </c>
      <c r="Z7" s="5"/>
      <c r="AA7" s="29">
        <f>J7+L7+N7+P7+R7+T7+V7+X7+Z7</f>
        <v>0</v>
      </c>
    </row>
    <row r="8" spans="2:27" x14ac:dyDescent="0.2">
      <c r="B8" s="1"/>
      <c r="C8" s="1"/>
      <c r="D8" s="1"/>
      <c r="E8" s="1"/>
      <c r="F8" s="1" t="s">
        <v>47</v>
      </c>
      <c r="G8" s="1"/>
      <c r="I8" s="1" t="s">
        <v>27</v>
      </c>
      <c r="J8" s="5"/>
      <c r="K8" s="1" t="s">
        <v>27</v>
      </c>
      <c r="L8" s="5"/>
      <c r="M8" s="1" t="s">
        <v>27</v>
      </c>
      <c r="N8" s="5"/>
      <c r="O8" s="1" t="s">
        <v>27</v>
      </c>
      <c r="P8" s="5"/>
      <c r="Q8" s="1" t="s">
        <v>27</v>
      </c>
      <c r="R8" s="5"/>
      <c r="S8" s="1" t="s">
        <v>27</v>
      </c>
      <c r="T8" s="5"/>
      <c r="U8" s="7" t="s">
        <v>27</v>
      </c>
      <c r="V8" s="24"/>
      <c r="W8" s="1" t="s">
        <v>27</v>
      </c>
      <c r="X8" s="5"/>
      <c r="Y8" s="1" t="s">
        <v>27</v>
      </c>
      <c r="Z8" s="5"/>
      <c r="AA8" s="29">
        <f t="shared" ref="AA8:AA71" si="0">J8+L8+N8+P8+R8+T8+V8+X8+Z8</f>
        <v>0</v>
      </c>
    </row>
    <row r="9" spans="2:27" x14ac:dyDescent="0.2">
      <c r="B9" s="1"/>
      <c r="C9" s="1"/>
      <c r="D9" s="1"/>
      <c r="E9" s="1"/>
      <c r="F9" s="1" t="s">
        <v>48</v>
      </c>
      <c r="G9" s="1"/>
      <c r="I9" s="1" t="s">
        <v>28</v>
      </c>
      <c r="J9" s="5"/>
      <c r="K9" s="1" t="s">
        <v>28</v>
      </c>
      <c r="L9" s="5"/>
      <c r="M9" s="1" t="s">
        <v>28</v>
      </c>
      <c r="N9" s="5"/>
      <c r="O9" s="1" t="s">
        <v>28</v>
      </c>
      <c r="P9" s="5"/>
      <c r="Q9" s="1" t="s">
        <v>28</v>
      </c>
      <c r="R9" s="5"/>
      <c r="S9" s="1" t="s">
        <v>28</v>
      </c>
      <c r="T9" s="5"/>
      <c r="U9" s="1" t="s">
        <v>28</v>
      </c>
      <c r="V9" s="5"/>
      <c r="W9" s="7" t="s">
        <v>28</v>
      </c>
      <c r="X9" s="14"/>
      <c r="Y9" s="7" t="s">
        <v>28</v>
      </c>
      <c r="Z9" s="14"/>
      <c r="AA9" s="29">
        <f t="shared" si="0"/>
        <v>0</v>
      </c>
    </row>
    <row r="10" spans="2:27" x14ac:dyDescent="0.2">
      <c r="B10" s="1"/>
      <c r="C10" s="1"/>
      <c r="D10" s="1"/>
      <c r="E10" s="1"/>
      <c r="F10" s="1" t="s">
        <v>49</v>
      </c>
      <c r="G10" s="1"/>
      <c r="I10" s="1" t="s">
        <v>29</v>
      </c>
      <c r="J10" s="5"/>
      <c r="K10" s="1" t="s">
        <v>29</v>
      </c>
      <c r="L10" s="5"/>
      <c r="M10" s="1" t="s">
        <v>29</v>
      </c>
      <c r="N10" s="5"/>
      <c r="O10" s="1" t="s">
        <v>29</v>
      </c>
      <c r="P10" s="5"/>
      <c r="Q10" s="1" t="s">
        <v>29</v>
      </c>
      <c r="R10" s="5"/>
      <c r="S10" s="1" t="s">
        <v>29</v>
      </c>
      <c r="T10" s="5"/>
      <c r="U10" s="1" t="s">
        <v>29</v>
      </c>
      <c r="V10" s="5"/>
      <c r="W10" s="1" t="s">
        <v>29</v>
      </c>
      <c r="X10" s="5"/>
      <c r="Y10" s="1" t="s">
        <v>29</v>
      </c>
      <c r="Z10" s="5"/>
      <c r="AA10" s="29">
        <f t="shared" si="0"/>
        <v>0</v>
      </c>
    </row>
    <row r="11" spans="2:27" x14ac:dyDescent="0.2">
      <c r="B11" s="1"/>
      <c r="C11" s="1"/>
      <c r="D11" s="1"/>
      <c r="E11" s="1"/>
      <c r="F11" s="1" t="s">
        <v>50</v>
      </c>
      <c r="G11" s="1"/>
      <c r="I11" s="1" t="s">
        <v>46</v>
      </c>
      <c r="J11" s="5"/>
      <c r="K11" s="1" t="s">
        <v>46</v>
      </c>
      <c r="L11" s="1"/>
      <c r="M11" s="1" t="s">
        <v>46</v>
      </c>
      <c r="N11" s="1"/>
      <c r="O11" s="1" t="s">
        <v>46</v>
      </c>
      <c r="P11" s="1"/>
      <c r="Q11" s="1" t="s">
        <v>46</v>
      </c>
      <c r="R11" s="1"/>
      <c r="S11" s="1" t="s">
        <v>46</v>
      </c>
      <c r="T11" s="1"/>
      <c r="U11" s="1" t="s">
        <v>46</v>
      </c>
      <c r="V11" s="1"/>
      <c r="W11" s="1" t="s">
        <v>46</v>
      </c>
      <c r="X11" s="1"/>
      <c r="Y11" s="1" t="s">
        <v>46</v>
      </c>
      <c r="Z11" s="1"/>
      <c r="AA11" s="29">
        <f t="shared" si="0"/>
        <v>0</v>
      </c>
    </row>
    <row r="12" spans="2:27" x14ac:dyDescent="0.2">
      <c r="B12" s="1"/>
      <c r="C12" s="1"/>
      <c r="D12" s="1"/>
      <c r="E12" s="1"/>
      <c r="F12" s="1" t="s">
        <v>51</v>
      </c>
      <c r="G12" s="1"/>
      <c r="I12" s="1" t="s">
        <v>47</v>
      </c>
      <c r="J12" s="5"/>
      <c r="K12" s="1" t="s">
        <v>47</v>
      </c>
      <c r="L12" s="1"/>
      <c r="M12" s="1" t="s">
        <v>47</v>
      </c>
      <c r="N12" s="1"/>
      <c r="O12" s="1" t="s">
        <v>47</v>
      </c>
      <c r="P12" s="1"/>
      <c r="Q12" s="1" t="s">
        <v>47</v>
      </c>
      <c r="R12" s="1"/>
      <c r="S12" s="1" t="s">
        <v>47</v>
      </c>
      <c r="T12" s="1"/>
      <c r="U12" s="1" t="s">
        <v>47</v>
      </c>
      <c r="V12" s="1"/>
      <c r="W12" s="1" t="s">
        <v>47</v>
      </c>
      <c r="X12" s="1"/>
      <c r="Y12" s="1" t="s">
        <v>47</v>
      </c>
      <c r="Z12" s="1"/>
      <c r="AA12" s="29">
        <f t="shared" si="0"/>
        <v>0</v>
      </c>
    </row>
    <row r="13" spans="2:27" x14ac:dyDescent="0.2">
      <c r="B13" s="1"/>
      <c r="C13" s="1"/>
      <c r="D13" s="1"/>
      <c r="E13" s="1"/>
      <c r="F13" s="1" t="s">
        <v>52</v>
      </c>
      <c r="G13" s="1"/>
      <c r="I13" s="1" t="s">
        <v>48</v>
      </c>
      <c r="J13" s="5"/>
      <c r="K13" s="1" t="s">
        <v>48</v>
      </c>
      <c r="L13" s="1"/>
      <c r="M13" s="1" t="s">
        <v>48</v>
      </c>
      <c r="N13" s="1"/>
      <c r="O13" s="1" t="s">
        <v>48</v>
      </c>
      <c r="P13" s="1"/>
      <c r="Q13" s="1" t="s">
        <v>48</v>
      </c>
      <c r="R13" s="1"/>
      <c r="S13" s="1" t="s">
        <v>48</v>
      </c>
      <c r="T13" s="1"/>
      <c r="U13" s="1" t="s">
        <v>48</v>
      </c>
      <c r="V13" s="1"/>
      <c r="W13" s="1" t="s">
        <v>48</v>
      </c>
      <c r="X13" s="1"/>
      <c r="Y13" s="1" t="s">
        <v>48</v>
      </c>
      <c r="Z13" s="1"/>
      <c r="AA13" s="29">
        <f t="shared" si="0"/>
        <v>0</v>
      </c>
    </row>
    <row r="14" spans="2:27" x14ac:dyDescent="0.2">
      <c r="B14" s="1"/>
      <c r="C14" s="1"/>
      <c r="D14" s="1"/>
      <c r="E14" s="1"/>
      <c r="F14" s="1" t="s">
        <v>53</v>
      </c>
      <c r="G14" s="1"/>
      <c r="I14" s="1" t="s">
        <v>49</v>
      </c>
      <c r="J14" s="5"/>
      <c r="K14" s="1" t="s">
        <v>49</v>
      </c>
      <c r="L14" s="1"/>
      <c r="M14" s="1" t="s">
        <v>49</v>
      </c>
      <c r="N14" s="1"/>
      <c r="O14" s="1" t="s">
        <v>49</v>
      </c>
      <c r="P14" s="1"/>
      <c r="Q14" s="1" t="s">
        <v>49</v>
      </c>
      <c r="R14" s="1"/>
      <c r="S14" s="1" t="s">
        <v>49</v>
      </c>
      <c r="T14" s="1"/>
      <c r="U14" s="1" t="s">
        <v>49</v>
      </c>
      <c r="V14" s="1"/>
      <c r="W14" s="1" t="s">
        <v>49</v>
      </c>
      <c r="X14" s="1"/>
      <c r="Y14" s="1" t="s">
        <v>49</v>
      </c>
      <c r="Z14" s="1"/>
      <c r="AA14" s="29">
        <f t="shared" si="0"/>
        <v>0</v>
      </c>
    </row>
    <row r="15" spans="2:27" x14ac:dyDescent="0.2">
      <c r="B15" s="1"/>
      <c r="C15" s="1"/>
      <c r="D15" s="1"/>
      <c r="E15" s="1"/>
      <c r="F15" s="1" t="s">
        <v>54</v>
      </c>
      <c r="G15" s="1"/>
      <c r="I15" s="1" t="s">
        <v>50</v>
      </c>
      <c r="J15" s="5"/>
      <c r="K15" s="1" t="s">
        <v>50</v>
      </c>
      <c r="L15" s="1"/>
      <c r="M15" s="1" t="s">
        <v>50</v>
      </c>
      <c r="N15" s="1"/>
      <c r="O15" s="1" t="s">
        <v>50</v>
      </c>
      <c r="P15" s="1"/>
      <c r="Q15" s="1" t="s">
        <v>50</v>
      </c>
      <c r="R15" s="1"/>
      <c r="S15" s="1" t="s">
        <v>50</v>
      </c>
      <c r="T15" s="1"/>
      <c r="U15" s="1" t="s">
        <v>50</v>
      </c>
      <c r="V15" s="1"/>
      <c r="W15" s="1" t="s">
        <v>50</v>
      </c>
      <c r="X15" s="1"/>
      <c r="Y15" s="1" t="s">
        <v>50</v>
      </c>
      <c r="Z15" s="1"/>
      <c r="AA15" s="29">
        <f t="shared" si="0"/>
        <v>0</v>
      </c>
    </row>
    <row r="16" spans="2:27" x14ac:dyDescent="0.2">
      <c r="B16" s="1"/>
      <c r="C16" s="1"/>
      <c r="D16" s="1"/>
      <c r="E16" s="1"/>
      <c r="F16" s="1" t="s">
        <v>55</v>
      </c>
      <c r="G16" s="1"/>
      <c r="I16" s="1" t="s">
        <v>51</v>
      </c>
      <c r="J16" s="5"/>
      <c r="K16" s="1" t="s">
        <v>51</v>
      </c>
      <c r="L16" s="1"/>
      <c r="M16" s="1" t="s">
        <v>51</v>
      </c>
      <c r="N16" s="1"/>
      <c r="O16" s="1" t="s">
        <v>51</v>
      </c>
      <c r="P16" s="1"/>
      <c r="Q16" s="1" t="s">
        <v>51</v>
      </c>
      <c r="R16" s="1"/>
      <c r="S16" s="1" t="s">
        <v>51</v>
      </c>
      <c r="T16" s="1"/>
      <c r="U16" s="1" t="s">
        <v>51</v>
      </c>
      <c r="V16" s="1"/>
      <c r="W16" s="1" t="s">
        <v>51</v>
      </c>
      <c r="X16" s="1"/>
      <c r="Y16" s="1" t="s">
        <v>51</v>
      </c>
      <c r="Z16" s="1"/>
      <c r="AA16" s="29">
        <f t="shared" si="0"/>
        <v>0</v>
      </c>
    </row>
    <row r="17" spans="2:27" x14ac:dyDescent="0.2">
      <c r="B17" s="1"/>
      <c r="C17" s="1"/>
      <c r="D17" s="1"/>
      <c r="E17" s="1"/>
      <c r="F17" s="1" t="s">
        <v>56</v>
      </c>
      <c r="G17" s="1"/>
      <c r="I17" s="1" t="s">
        <v>52</v>
      </c>
      <c r="J17" s="5"/>
      <c r="K17" s="1" t="s">
        <v>52</v>
      </c>
      <c r="L17" s="1"/>
      <c r="M17" s="1" t="s">
        <v>52</v>
      </c>
      <c r="N17" s="1"/>
      <c r="O17" s="1" t="s">
        <v>52</v>
      </c>
      <c r="P17" s="1"/>
      <c r="Q17" s="1" t="s">
        <v>52</v>
      </c>
      <c r="R17" s="1"/>
      <c r="S17" s="1" t="s">
        <v>52</v>
      </c>
      <c r="T17" s="1"/>
      <c r="U17" s="1" t="s">
        <v>52</v>
      </c>
      <c r="V17" s="1"/>
      <c r="W17" s="1" t="s">
        <v>52</v>
      </c>
      <c r="X17" s="1"/>
      <c r="Y17" s="1" t="s">
        <v>52</v>
      </c>
      <c r="Z17" s="1"/>
      <c r="AA17" s="29">
        <f t="shared" si="0"/>
        <v>0</v>
      </c>
    </row>
    <row r="18" spans="2:27" x14ac:dyDescent="0.2">
      <c r="B18" s="1"/>
      <c r="C18" s="1"/>
      <c r="D18" s="1"/>
      <c r="E18" s="1"/>
      <c r="F18" s="1" t="s">
        <v>57</v>
      </c>
      <c r="G18" s="1"/>
      <c r="I18" s="1" t="s">
        <v>53</v>
      </c>
      <c r="J18" s="5"/>
      <c r="K18" s="1" t="s">
        <v>53</v>
      </c>
      <c r="L18" s="1"/>
      <c r="M18" s="1" t="s">
        <v>53</v>
      </c>
      <c r="N18" s="1"/>
      <c r="O18" s="1" t="s">
        <v>53</v>
      </c>
      <c r="P18" s="1"/>
      <c r="Q18" s="1" t="s">
        <v>53</v>
      </c>
      <c r="R18" s="1"/>
      <c r="S18" s="1" t="s">
        <v>53</v>
      </c>
      <c r="T18" s="1"/>
      <c r="U18" s="1" t="s">
        <v>53</v>
      </c>
      <c r="V18" s="1"/>
      <c r="W18" s="1" t="s">
        <v>53</v>
      </c>
      <c r="X18" s="1"/>
      <c r="Y18" s="1" t="s">
        <v>53</v>
      </c>
      <c r="Z18" s="1"/>
      <c r="AA18" s="29">
        <f t="shared" si="0"/>
        <v>0</v>
      </c>
    </row>
    <row r="19" spans="2:27" x14ac:dyDescent="0.2">
      <c r="B19" s="1"/>
      <c r="C19" s="1"/>
      <c r="D19" s="1"/>
      <c r="E19" s="1"/>
      <c r="F19" s="1" t="s">
        <v>58</v>
      </c>
      <c r="G19" s="1"/>
      <c r="I19" s="1" t="s">
        <v>54</v>
      </c>
      <c r="J19" s="5"/>
      <c r="K19" s="1" t="s">
        <v>54</v>
      </c>
      <c r="L19" s="1"/>
      <c r="M19" s="1" t="s">
        <v>54</v>
      </c>
      <c r="N19" s="1"/>
      <c r="O19" s="1" t="s">
        <v>54</v>
      </c>
      <c r="P19" s="1"/>
      <c r="Q19" s="1" t="s">
        <v>54</v>
      </c>
      <c r="R19" s="1"/>
      <c r="S19" s="1" t="s">
        <v>54</v>
      </c>
      <c r="T19" s="1"/>
      <c r="U19" s="1" t="s">
        <v>54</v>
      </c>
      <c r="V19" s="1"/>
      <c r="W19" s="1" t="s">
        <v>54</v>
      </c>
      <c r="X19" s="1"/>
      <c r="Y19" s="1" t="s">
        <v>54</v>
      </c>
      <c r="Z19" s="1"/>
      <c r="AA19" s="29">
        <f t="shared" si="0"/>
        <v>0</v>
      </c>
    </row>
    <row r="20" spans="2:27" x14ac:dyDescent="0.2">
      <c r="B20" s="1"/>
      <c r="C20" s="1"/>
      <c r="D20" s="1"/>
      <c r="E20" s="1"/>
      <c r="F20" s="1" t="s">
        <v>59</v>
      </c>
      <c r="G20" s="1"/>
      <c r="I20" s="1" t="s">
        <v>55</v>
      </c>
      <c r="J20" s="5"/>
      <c r="K20" s="1" t="s">
        <v>55</v>
      </c>
      <c r="L20" s="1"/>
      <c r="M20" s="1" t="s">
        <v>55</v>
      </c>
      <c r="N20" s="1"/>
      <c r="O20" s="1" t="s">
        <v>55</v>
      </c>
      <c r="P20" s="1"/>
      <c r="Q20" s="1" t="s">
        <v>55</v>
      </c>
      <c r="R20" s="1"/>
      <c r="S20" s="1" t="s">
        <v>55</v>
      </c>
      <c r="T20" s="1"/>
      <c r="U20" s="1" t="s">
        <v>55</v>
      </c>
      <c r="V20" s="1"/>
      <c r="W20" s="1" t="s">
        <v>55</v>
      </c>
      <c r="X20" s="1"/>
      <c r="Y20" s="1" t="s">
        <v>55</v>
      </c>
      <c r="Z20" s="1"/>
      <c r="AA20" s="29">
        <f t="shared" si="0"/>
        <v>0</v>
      </c>
    </row>
    <row r="21" spans="2:27" x14ac:dyDescent="0.2">
      <c r="B21" s="1"/>
      <c r="C21" s="1"/>
      <c r="D21" s="1"/>
      <c r="E21" s="1"/>
      <c r="F21" s="1" t="s">
        <v>60</v>
      </c>
      <c r="G21" s="1"/>
      <c r="I21" s="1" t="s">
        <v>56</v>
      </c>
      <c r="J21" s="5"/>
      <c r="K21" s="1" t="s">
        <v>56</v>
      </c>
      <c r="L21" s="1"/>
      <c r="M21" s="1" t="s">
        <v>56</v>
      </c>
      <c r="N21" s="1"/>
      <c r="O21" s="1" t="s">
        <v>56</v>
      </c>
      <c r="P21" s="1"/>
      <c r="Q21" s="1" t="s">
        <v>56</v>
      </c>
      <c r="R21" s="1"/>
      <c r="S21" s="1" t="s">
        <v>56</v>
      </c>
      <c r="T21" s="1"/>
      <c r="U21" s="1" t="s">
        <v>56</v>
      </c>
      <c r="V21" s="1"/>
      <c r="W21" s="1" t="s">
        <v>56</v>
      </c>
      <c r="X21" s="1"/>
      <c r="Y21" s="1" t="s">
        <v>56</v>
      </c>
      <c r="Z21" s="1"/>
      <c r="AA21" s="29">
        <f t="shared" si="0"/>
        <v>0</v>
      </c>
    </row>
    <row r="22" spans="2:27" x14ac:dyDescent="0.2">
      <c r="B22" s="1"/>
      <c r="C22" s="1"/>
      <c r="D22" s="1"/>
      <c r="E22" s="1"/>
      <c r="F22" s="1" t="s">
        <v>61</v>
      </c>
      <c r="G22" s="1"/>
      <c r="I22" s="1" t="s">
        <v>57</v>
      </c>
      <c r="J22" s="5"/>
      <c r="K22" s="1" t="s">
        <v>57</v>
      </c>
      <c r="L22" s="1"/>
      <c r="M22" s="1" t="s">
        <v>57</v>
      </c>
      <c r="N22" s="1"/>
      <c r="O22" s="1" t="s">
        <v>57</v>
      </c>
      <c r="P22" s="1"/>
      <c r="Q22" s="1" t="s">
        <v>57</v>
      </c>
      <c r="R22" s="1"/>
      <c r="S22" s="1" t="s">
        <v>57</v>
      </c>
      <c r="T22" s="1"/>
      <c r="U22" s="1" t="s">
        <v>57</v>
      </c>
      <c r="V22" s="1"/>
      <c r="W22" s="1" t="s">
        <v>57</v>
      </c>
      <c r="X22" s="1"/>
      <c r="Y22" s="1" t="s">
        <v>57</v>
      </c>
      <c r="Z22" s="1"/>
      <c r="AA22" s="29">
        <f t="shared" si="0"/>
        <v>0</v>
      </c>
    </row>
    <row r="23" spans="2:27" x14ac:dyDescent="0.2">
      <c r="B23" s="1"/>
      <c r="C23" s="1"/>
      <c r="D23" s="1"/>
      <c r="E23" s="1"/>
      <c r="F23" s="1" t="s">
        <v>62</v>
      </c>
      <c r="G23" s="1"/>
      <c r="I23" s="1" t="s">
        <v>58</v>
      </c>
      <c r="J23" s="5"/>
      <c r="K23" s="1" t="s">
        <v>58</v>
      </c>
      <c r="L23" s="1"/>
      <c r="M23" s="1" t="s">
        <v>58</v>
      </c>
      <c r="N23" s="1"/>
      <c r="O23" s="1" t="s">
        <v>58</v>
      </c>
      <c r="P23" s="1"/>
      <c r="Q23" s="1" t="s">
        <v>58</v>
      </c>
      <c r="R23" s="1"/>
      <c r="S23" s="1" t="s">
        <v>58</v>
      </c>
      <c r="T23" s="1"/>
      <c r="U23" s="1" t="s">
        <v>58</v>
      </c>
      <c r="V23" s="1"/>
      <c r="W23" s="1" t="s">
        <v>58</v>
      </c>
      <c r="X23" s="1"/>
      <c r="Y23" s="1" t="s">
        <v>58</v>
      </c>
      <c r="Z23" s="1"/>
      <c r="AA23" s="29">
        <f t="shared" si="0"/>
        <v>0</v>
      </c>
    </row>
    <row r="24" spans="2:27" x14ac:dyDescent="0.2">
      <c r="B24" s="1"/>
      <c r="C24" s="1"/>
      <c r="D24" s="1"/>
      <c r="E24" s="1"/>
      <c r="F24" s="1" t="s">
        <v>63</v>
      </c>
      <c r="G24" s="1"/>
      <c r="I24" s="1" t="s">
        <v>59</v>
      </c>
      <c r="J24" s="5"/>
      <c r="K24" s="1" t="s">
        <v>59</v>
      </c>
      <c r="L24" s="1"/>
      <c r="M24" s="1" t="s">
        <v>59</v>
      </c>
      <c r="N24" s="1"/>
      <c r="O24" s="1" t="s">
        <v>59</v>
      </c>
      <c r="P24" s="1"/>
      <c r="Q24" s="1" t="s">
        <v>59</v>
      </c>
      <c r="R24" s="1"/>
      <c r="S24" s="1" t="s">
        <v>59</v>
      </c>
      <c r="T24" s="1"/>
      <c r="U24" s="1" t="s">
        <v>59</v>
      </c>
      <c r="V24" s="1"/>
      <c r="W24" s="1" t="s">
        <v>59</v>
      </c>
      <c r="X24" s="1"/>
      <c r="Y24" s="1" t="s">
        <v>59</v>
      </c>
      <c r="Z24" s="1"/>
      <c r="AA24" s="29">
        <f t="shared" si="0"/>
        <v>0</v>
      </c>
    </row>
    <row r="25" spans="2:27" x14ac:dyDescent="0.2">
      <c r="B25" s="1"/>
      <c r="C25" s="1"/>
      <c r="D25" s="1"/>
      <c r="E25" s="1"/>
      <c r="F25" s="1" t="s">
        <v>64</v>
      </c>
      <c r="G25" s="1"/>
      <c r="I25" s="1" t="s">
        <v>60</v>
      </c>
      <c r="J25" s="5"/>
      <c r="K25" s="1" t="s">
        <v>60</v>
      </c>
      <c r="L25" s="1"/>
      <c r="M25" s="1" t="s">
        <v>60</v>
      </c>
      <c r="N25" s="1"/>
      <c r="O25" s="1" t="s">
        <v>60</v>
      </c>
      <c r="P25" s="1"/>
      <c r="Q25" s="1" t="s">
        <v>60</v>
      </c>
      <c r="R25" s="1"/>
      <c r="S25" s="1" t="s">
        <v>60</v>
      </c>
      <c r="T25" s="1"/>
      <c r="U25" s="1" t="s">
        <v>60</v>
      </c>
      <c r="V25" s="1"/>
      <c r="W25" s="1" t="s">
        <v>60</v>
      </c>
      <c r="X25" s="1"/>
      <c r="Y25" s="1" t="s">
        <v>60</v>
      </c>
      <c r="Z25" s="1"/>
      <c r="AA25" s="29">
        <f t="shared" si="0"/>
        <v>0</v>
      </c>
    </row>
    <row r="26" spans="2:27" x14ac:dyDescent="0.2">
      <c r="B26" s="1"/>
      <c r="C26" s="1"/>
      <c r="D26" s="1"/>
      <c r="E26" s="1"/>
      <c r="F26" s="1" t="s">
        <v>65</v>
      </c>
      <c r="G26" s="1"/>
      <c r="I26" s="1" t="s">
        <v>61</v>
      </c>
      <c r="J26" s="5"/>
      <c r="K26" s="1" t="s">
        <v>61</v>
      </c>
      <c r="L26" s="1"/>
      <c r="M26" s="1" t="s">
        <v>61</v>
      </c>
      <c r="N26" s="1"/>
      <c r="O26" s="1" t="s">
        <v>61</v>
      </c>
      <c r="P26" s="1"/>
      <c r="Q26" s="1" t="s">
        <v>61</v>
      </c>
      <c r="R26" s="1"/>
      <c r="S26" s="1" t="s">
        <v>61</v>
      </c>
      <c r="T26" s="1"/>
      <c r="U26" s="1" t="s">
        <v>61</v>
      </c>
      <c r="V26" s="1"/>
      <c r="W26" s="1" t="s">
        <v>61</v>
      </c>
      <c r="X26" s="1"/>
      <c r="Y26" s="1" t="s">
        <v>61</v>
      </c>
      <c r="Z26" s="1"/>
      <c r="AA26" s="29">
        <f t="shared" si="0"/>
        <v>0</v>
      </c>
    </row>
    <row r="27" spans="2:27" x14ac:dyDescent="0.2">
      <c r="B27" s="1"/>
      <c r="C27" s="1"/>
      <c r="D27" s="1"/>
      <c r="E27" s="1"/>
      <c r="F27" s="1" t="s">
        <v>66</v>
      </c>
      <c r="G27" s="1"/>
      <c r="I27" s="1" t="s">
        <v>62</v>
      </c>
      <c r="J27" s="5"/>
      <c r="K27" s="1" t="s">
        <v>62</v>
      </c>
      <c r="L27" s="1"/>
      <c r="M27" s="1" t="s">
        <v>62</v>
      </c>
      <c r="N27" s="1"/>
      <c r="O27" s="1" t="s">
        <v>62</v>
      </c>
      <c r="P27" s="1"/>
      <c r="Q27" s="1" t="s">
        <v>62</v>
      </c>
      <c r="R27" s="1"/>
      <c r="S27" s="1" t="s">
        <v>62</v>
      </c>
      <c r="T27" s="1"/>
      <c r="U27" s="1" t="s">
        <v>62</v>
      </c>
      <c r="V27" s="1"/>
      <c r="W27" s="1" t="s">
        <v>62</v>
      </c>
      <c r="X27" s="1"/>
      <c r="Y27" s="1" t="s">
        <v>62</v>
      </c>
      <c r="Z27" s="1"/>
      <c r="AA27" s="29">
        <f t="shared" si="0"/>
        <v>0</v>
      </c>
    </row>
    <row r="28" spans="2:27" x14ac:dyDescent="0.2">
      <c r="B28" s="1"/>
      <c r="C28" s="1"/>
      <c r="D28" s="1"/>
      <c r="E28" s="1"/>
      <c r="F28" s="1" t="s">
        <v>67</v>
      </c>
      <c r="G28" s="1"/>
      <c r="I28" s="1" t="s">
        <v>63</v>
      </c>
      <c r="J28" s="5"/>
      <c r="K28" s="1" t="s">
        <v>63</v>
      </c>
      <c r="L28" s="1"/>
      <c r="M28" s="1" t="s">
        <v>63</v>
      </c>
      <c r="N28" s="1"/>
      <c r="O28" s="1" t="s">
        <v>63</v>
      </c>
      <c r="P28" s="1"/>
      <c r="Q28" s="1" t="s">
        <v>63</v>
      </c>
      <c r="R28" s="1"/>
      <c r="S28" s="1" t="s">
        <v>63</v>
      </c>
      <c r="T28" s="1"/>
      <c r="U28" s="1" t="s">
        <v>63</v>
      </c>
      <c r="V28" s="1"/>
      <c r="W28" s="1" t="s">
        <v>63</v>
      </c>
      <c r="X28" s="1"/>
      <c r="Y28" s="1" t="s">
        <v>63</v>
      </c>
      <c r="Z28" s="1"/>
      <c r="AA28" s="29">
        <f t="shared" si="0"/>
        <v>0</v>
      </c>
    </row>
    <row r="29" spans="2:27" x14ac:dyDescent="0.2">
      <c r="B29" s="1"/>
      <c r="C29" s="1"/>
      <c r="D29" s="1"/>
      <c r="E29" s="1"/>
      <c r="F29" s="1" t="s">
        <v>68</v>
      </c>
      <c r="G29" s="1"/>
      <c r="I29" s="1" t="s">
        <v>64</v>
      </c>
      <c r="J29" s="5"/>
      <c r="K29" s="1" t="s">
        <v>64</v>
      </c>
      <c r="L29" s="1"/>
      <c r="M29" s="1" t="s">
        <v>64</v>
      </c>
      <c r="N29" s="1"/>
      <c r="O29" s="1" t="s">
        <v>64</v>
      </c>
      <c r="P29" s="1"/>
      <c r="Q29" s="1" t="s">
        <v>64</v>
      </c>
      <c r="R29" s="1"/>
      <c r="S29" s="1" t="s">
        <v>64</v>
      </c>
      <c r="T29" s="1"/>
      <c r="U29" s="1" t="s">
        <v>64</v>
      </c>
      <c r="V29" s="1"/>
      <c r="W29" s="1" t="s">
        <v>64</v>
      </c>
      <c r="X29" s="1"/>
      <c r="Y29" s="1" t="s">
        <v>64</v>
      </c>
      <c r="Z29" s="1"/>
      <c r="AA29" s="29">
        <f t="shared" si="0"/>
        <v>0</v>
      </c>
    </row>
    <row r="30" spans="2:27" x14ac:dyDescent="0.2">
      <c r="B30" s="1"/>
      <c r="C30" s="1"/>
      <c r="D30" s="1"/>
      <c r="E30" s="1"/>
      <c r="F30" s="1" t="s">
        <v>69</v>
      </c>
      <c r="G30" s="1"/>
      <c r="I30" s="1" t="s">
        <v>65</v>
      </c>
      <c r="J30" s="5"/>
      <c r="K30" s="1" t="s">
        <v>65</v>
      </c>
      <c r="L30" s="1"/>
      <c r="M30" s="1" t="s">
        <v>65</v>
      </c>
      <c r="N30" s="1"/>
      <c r="O30" s="1" t="s">
        <v>65</v>
      </c>
      <c r="P30" s="1"/>
      <c r="Q30" s="1" t="s">
        <v>65</v>
      </c>
      <c r="R30" s="1"/>
      <c r="S30" s="1" t="s">
        <v>65</v>
      </c>
      <c r="T30" s="1"/>
      <c r="U30" s="1" t="s">
        <v>65</v>
      </c>
      <c r="V30" s="1"/>
      <c r="W30" s="1" t="s">
        <v>65</v>
      </c>
      <c r="X30" s="1"/>
      <c r="Y30" s="1" t="s">
        <v>65</v>
      </c>
      <c r="Z30" s="1"/>
      <c r="AA30" s="29">
        <f t="shared" si="0"/>
        <v>0</v>
      </c>
    </row>
    <row r="31" spans="2:27" x14ac:dyDescent="0.2">
      <c r="B31" s="1"/>
      <c r="C31" s="1"/>
      <c r="D31" s="1"/>
      <c r="E31" s="1"/>
      <c r="F31" s="1" t="s">
        <v>70</v>
      </c>
      <c r="G31" s="1"/>
      <c r="I31" s="1" t="s">
        <v>66</v>
      </c>
      <c r="J31" s="5"/>
      <c r="K31" s="1" t="s">
        <v>66</v>
      </c>
      <c r="L31" s="1"/>
      <c r="M31" s="1" t="s">
        <v>66</v>
      </c>
      <c r="N31" s="1"/>
      <c r="O31" s="1" t="s">
        <v>66</v>
      </c>
      <c r="P31" s="1"/>
      <c r="Q31" s="1" t="s">
        <v>66</v>
      </c>
      <c r="R31" s="1"/>
      <c r="S31" s="1" t="s">
        <v>66</v>
      </c>
      <c r="T31" s="1"/>
      <c r="U31" s="1" t="s">
        <v>66</v>
      </c>
      <c r="V31" s="1"/>
      <c r="W31" s="1" t="s">
        <v>66</v>
      </c>
      <c r="X31" s="1"/>
      <c r="Y31" s="1" t="s">
        <v>66</v>
      </c>
      <c r="Z31" s="1"/>
      <c r="AA31" s="29">
        <f t="shared" si="0"/>
        <v>0</v>
      </c>
    </row>
    <row r="32" spans="2:27" x14ac:dyDescent="0.2">
      <c r="B32" s="1"/>
      <c r="C32" s="1"/>
      <c r="D32" s="1"/>
      <c r="E32" s="1"/>
      <c r="F32" s="1" t="s">
        <v>71</v>
      </c>
      <c r="G32" s="1"/>
      <c r="I32" s="1" t="s">
        <v>67</v>
      </c>
      <c r="J32" s="5"/>
      <c r="K32" s="1" t="s">
        <v>67</v>
      </c>
      <c r="L32" s="1"/>
      <c r="M32" s="1" t="s">
        <v>67</v>
      </c>
      <c r="N32" s="1"/>
      <c r="O32" s="1" t="s">
        <v>67</v>
      </c>
      <c r="P32" s="1"/>
      <c r="Q32" s="1" t="s">
        <v>67</v>
      </c>
      <c r="R32" s="1"/>
      <c r="S32" s="1" t="s">
        <v>67</v>
      </c>
      <c r="T32" s="1"/>
      <c r="U32" s="1" t="s">
        <v>67</v>
      </c>
      <c r="V32" s="1"/>
      <c r="W32" s="1" t="s">
        <v>67</v>
      </c>
      <c r="X32" s="1"/>
      <c r="Y32" s="1" t="s">
        <v>67</v>
      </c>
      <c r="Z32" s="1"/>
      <c r="AA32" s="29">
        <f t="shared" si="0"/>
        <v>0</v>
      </c>
    </row>
    <row r="33" spans="2:27" x14ac:dyDescent="0.2">
      <c r="B33" s="1"/>
      <c r="C33" s="1"/>
      <c r="D33" s="1"/>
      <c r="E33" s="1"/>
      <c r="F33" s="1" t="s">
        <v>72</v>
      </c>
      <c r="G33" s="1"/>
      <c r="I33" s="1" t="s">
        <v>68</v>
      </c>
      <c r="J33" s="5"/>
      <c r="K33" s="1" t="s">
        <v>68</v>
      </c>
      <c r="L33" s="1"/>
      <c r="M33" s="1" t="s">
        <v>68</v>
      </c>
      <c r="N33" s="1"/>
      <c r="O33" s="1" t="s">
        <v>68</v>
      </c>
      <c r="P33" s="1"/>
      <c r="Q33" s="1" t="s">
        <v>68</v>
      </c>
      <c r="R33" s="1"/>
      <c r="S33" s="1" t="s">
        <v>68</v>
      </c>
      <c r="T33" s="1"/>
      <c r="U33" s="1" t="s">
        <v>68</v>
      </c>
      <c r="V33" s="1"/>
      <c r="W33" s="1" t="s">
        <v>68</v>
      </c>
      <c r="X33" s="1"/>
      <c r="Y33" s="1" t="s">
        <v>68</v>
      </c>
      <c r="Z33" s="1"/>
      <c r="AA33" s="29">
        <f t="shared" si="0"/>
        <v>0</v>
      </c>
    </row>
    <row r="34" spans="2:27" x14ac:dyDescent="0.2">
      <c r="B34" s="1"/>
      <c r="C34" s="1"/>
      <c r="D34" s="1"/>
      <c r="E34" s="1"/>
      <c r="F34" s="1" t="s">
        <v>73</v>
      </c>
      <c r="G34" s="1"/>
      <c r="I34" s="1" t="s">
        <v>69</v>
      </c>
      <c r="J34" s="5"/>
      <c r="K34" s="1" t="s">
        <v>69</v>
      </c>
      <c r="L34" s="1"/>
      <c r="M34" s="1" t="s">
        <v>69</v>
      </c>
      <c r="N34" s="1"/>
      <c r="O34" s="1" t="s">
        <v>69</v>
      </c>
      <c r="P34" s="1"/>
      <c r="Q34" s="1" t="s">
        <v>69</v>
      </c>
      <c r="R34" s="1"/>
      <c r="S34" s="1" t="s">
        <v>69</v>
      </c>
      <c r="T34" s="1"/>
      <c r="U34" s="1" t="s">
        <v>69</v>
      </c>
      <c r="V34" s="1"/>
      <c r="W34" s="1" t="s">
        <v>69</v>
      </c>
      <c r="X34" s="1"/>
      <c r="Y34" s="1" t="s">
        <v>69</v>
      </c>
      <c r="Z34" s="1"/>
      <c r="AA34" s="29">
        <f t="shared" si="0"/>
        <v>0</v>
      </c>
    </row>
    <row r="35" spans="2:27" x14ac:dyDescent="0.2">
      <c r="B35" s="1"/>
      <c r="C35" s="1"/>
      <c r="D35" s="1"/>
      <c r="E35" s="1"/>
      <c r="F35" s="1" t="s">
        <v>74</v>
      </c>
      <c r="G35" s="1"/>
      <c r="I35" s="1" t="s">
        <v>70</v>
      </c>
      <c r="J35" s="5"/>
      <c r="K35" s="1" t="s">
        <v>70</v>
      </c>
      <c r="L35" s="1"/>
      <c r="M35" s="1" t="s">
        <v>70</v>
      </c>
      <c r="N35" s="1"/>
      <c r="O35" s="1" t="s">
        <v>70</v>
      </c>
      <c r="P35" s="1"/>
      <c r="Q35" s="1" t="s">
        <v>70</v>
      </c>
      <c r="R35" s="1"/>
      <c r="S35" s="1" t="s">
        <v>70</v>
      </c>
      <c r="T35" s="1"/>
      <c r="U35" s="1" t="s">
        <v>70</v>
      </c>
      <c r="V35" s="1"/>
      <c r="W35" s="1" t="s">
        <v>70</v>
      </c>
      <c r="X35" s="1"/>
      <c r="Y35" s="1" t="s">
        <v>70</v>
      </c>
      <c r="Z35" s="1"/>
      <c r="AA35" s="29">
        <f t="shared" si="0"/>
        <v>0</v>
      </c>
    </row>
    <row r="36" spans="2:27" x14ac:dyDescent="0.2">
      <c r="B36" s="1"/>
      <c r="C36" s="1"/>
      <c r="D36" s="1"/>
      <c r="E36" s="1"/>
      <c r="F36" s="1" t="s">
        <v>75</v>
      </c>
      <c r="G36" s="1"/>
      <c r="I36" s="1" t="s">
        <v>71</v>
      </c>
      <c r="J36" s="5"/>
      <c r="K36" s="1" t="s">
        <v>71</v>
      </c>
      <c r="L36" s="1"/>
      <c r="M36" s="1" t="s">
        <v>71</v>
      </c>
      <c r="N36" s="1"/>
      <c r="O36" s="1" t="s">
        <v>71</v>
      </c>
      <c r="P36" s="1"/>
      <c r="Q36" s="1" t="s">
        <v>71</v>
      </c>
      <c r="R36" s="1"/>
      <c r="S36" s="1" t="s">
        <v>71</v>
      </c>
      <c r="T36" s="1"/>
      <c r="U36" s="1" t="s">
        <v>71</v>
      </c>
      <c r="V36" s="1"/>
      <c r="W36" s="1" t="s">
        <v>71</v>
      </c>
      <c r="X36" s="1"/>
      <c r="Y36" s="1" t="s">
        <v>71</v>
      </c>
      <c r="Z36" s="1"/>
      <c r="AA36" s="29">
        <f t="shared" si="0"/>
        <v>0</v>
      </c>
    </row>
    <row r="37" spans="2:27" x14ac:dyDescent="0.2">
      <c r="B37" s="1"/>
      <c r="C37" s="1"/>
      <c r="D37" s="1"/>
      <c r="E37" s="1"/>
      <c r="F37" s="1" t="s">
        <v>76</v>
      </c>
      <c r="G37" s="1"/>
      <c r="I37" s="1" t="s">
        <v>72</v>
      </c>
      <c r="J37" s="5"/>
      <c r="K37" s="1" t="s">
        <v>72</v>
      </c>
      <c r="L37" s="1"/>
      <c r="M37" s="1" t="s">
        <v>72</v>
      </c>
      <c r="N37" s="1"/>
      <c r="O37" s="1" t="s">
        <v>72</v>
      </c>
      <c r="P37" s="1"/>
      <c r="Q37" s="1" t="s">
        <v>72</v>
      </c>
      <c r="R37" s="1"/>
      <c r="S37" s="1" t="s">
        <v>72</v>
      </c>
      <c r="T37" s="1"/>
      <c r="U37" s="1" t="s">
        <v>72</v>
      </c>
      <c r="V37" s="1"/>
      <c r="W37" s="1" t="s">
        <v>72</v>
      </c>
      <c r="X37" s="1"/>
      <c r="Y37" s="1" t="s">
        <v>72</v>
      </c>
      <c r="Z37" s="1"/>
      <c r="AA37" s="29">
        <f t="shared" si="0"/>
        <v>0</v>
      </c>
    </row>
    <row r="38" spans="2:27" x14ac:dyDescent="0.2">
      <c r="B38" s="1"/>
      <c r="C38" s="1"/>
      <c r="D38" s="1"/>
      <c r="E38" s="1"/>
      <c r="F38" s="1" t="s">
        <v>77</v>
      </c>
      <c r="G38" s="1"/>
      <c r="I38" s="1" t="s">
        <v>73</v>
      </c>
      <c r="J38" s="5"/>
      <c r="K38" s="1" t="s">
        <v>73</v>
      </c>
      <c r="L38" s="1"/>
      <c r="M38" s="1" t="s">
        <v>73</v>
      </c>
      <c r="N38" s="1"/>
      <c r="O38" s="1" t="s">
        <v>73</v>
      </c>
      <c r="P38" s="1"/>
      <c r="Q38" s="1" t="s">
        <v>73</v>
      </c>
      <c r="R38" s="1"/>
      <c r="S38" s="1" t="s">
        <v>73</v>
      </c>
      <c r="T38" s="1"/>
      <c r="U38" s="1" t="s">
        <v>73</v>
      </c>
      <c r="V38" s="1"/>
      <c r="W38" s="1" t="s">
        <v>73</v>
      </c>
      <c r="X38" s="1"/>
      <c r="Y38" s="1" t="s">
        <v>73</v>
      </c>
      <c r="Z38" s="1"/>
      <c r="AA38" s="29">
        <f t="shared" si="0"/>
        <v>0</v>
      </c>
    </row>
    <row r="39" spans="2:27" x14ac:dyDescent="0.2">
      <c r="B39" s="1"/>
      <c r="C39" s="1"/>
      <c r="D39" s="1"/>
      <c r="E39" s="1"/>
      <c r="F39" s="1" t="s">
        <v>78</v>
      </c>
      <c r="G39" s="1"/>
      <c r="I39" s="1" t="s">
        <v>74</v>
      </c>
      <c r="J39" s="5"/>
      <c r="K39" s="1" t="s">
        <v>74</v>
      </c>
      <c r="L39" s="1"/>
      <c r="M39" s="1" t="s">
        <v>74</v>
      </c>
      <c r="N39" s="1"/>
      <c r="O39" s="1" t="s">
        <v>74</v>
      </c>
      <c r="P39" s="1"/>
      <c r="Q39" s="1" t="s">
        <v>74</v>
      </c>
      <c r="R39" s="1"/>
      <c r="S39" s="1" t="s">
        <v>74</v>
      </c>
      <c r="T39" s="1"/>
      <c r="U39" s="1" t="s">
        <v>74</v>
      </c>
      <c r="V39" s="1"/>
      <c r="W39" s="1" t="s">
        <v>74</v>
      </c>
      <c r="X39" s="1"/>
      <c r="Y39" s="1" t="s">
        <v>74</v>
      </c>
      <c r="Z39" s="1"/>
      <c r="AA39" s="29">
        <f t="shared" si="0"/>
        <v>0</v>
      </c>
    </row>
    <row r="40" spans="2:27" x14ac:dyDescent="0.2">
      <c r="B40" s="1"/>
      <c r="C40" s="1"/>
      <c r="D40" s="1"/>
      <c r="E40" s="1"/>
      <c r="F40" s="1" t="s">
        <v>79</v>
      </c>
      <c r="G40" s="1"/>
      <c r="I40" s="1" t="s">
        <v>75</v>
      </c>
      <c r="J40" s="5"/>
      <c r="K40" s="1" t="s">
        <v>75</v>
      </c>
      <c r="L40" s="1"/>
      <c r="M40" s="1" t="s">
        <v>75</v>
      </c>
      <c r="N40" s="1"/>
      <c r="O40" s="1" t="s">
        <v>75</v>
      </c>
      <c r="P40" s="1"/>
      <c r="Q40" s="1" t="s">
        <v>75</v>
      </c>
      <c r="R40" s="1"/>
      <c r="S40" s="1" t="s">
        <v>75</v>
      </c>
      <c r="T40" s="1"/>
      <c r="U40" s="1" t="s">
        <v>75</v>
      </c>
      <c r="V40" s="1"/>
      <c r="W40" s="1" t="s">
        <v>75</v>
      </c>
      <c r="X40" s="1"/>
      <c r="Y40" s="1" t="s">
        <v>75</v>
      </c>
      <c r="Z40" s="1"/>
      <c r="AA40" s="29">
        <f t="shared" si="0"/>
        <v>0</v>
      </c>
    </row>
    <row r="41" spans="2:27" x14ac:dyDescent="0.2">
      <c r="B41" s="1"/>
      <c r="C41" s="1"/>
      <c r="D41" s="1"/>
      <c r="E41" s="1"/>
      <c r="F41" s="1" t="s">
        <v>80</v>
      </c>
      <c r="G41" s="1"/>
      <c r="I41" s="1" t="s">
        <v>76</v>
      </c>
      <c r="J41" s="5"/>
      <c r="K41" s="1" t="s">
        <v>76</v>
      </c>
      <c r="L41" s="1"/>
      <c r="M41" s="1" t="s">
        <v>76</v>
      </c>
      <c r="N41" s="1"/>
      <c r="O41" s="1" t="s">
        <v>76</v>
      </c>
      <c r="P41" s="1"/>
      <c r="Q41" s="1" t="s">
        <v>76</v>
      </c>
      <c r="R41" s="1"/>
      <c r="S41" s="1" t="s">
        <v>76</v>
      </c>
      <c r="T41" s="1"/>
      <c r="U41" s="1" t="s">
        <v>76</v>
      </c>
      <c r="V41" s="1"/>
      <c r="W41" s="1" t="s">
        <v>76</v>
      </c>
      <c r="X41" s="1"/>
      <c r="Y41" s="1" t="s">
        <v>76</v>
      </c>
      <c r="Z41" s="1"/>
      <c r="AA41" s="29">
        <f t="shared" si="0"/>
        <v>0</v>
      </c>
    </row>
    <row r="42" spans="2:27" x14ac:dyDescent="0.2">
      <c r="B42" s="1"/>
      <c r="C42" s="1"/>
      <c r="D42" s="1"/>
      <c r="E42" s="1"/>
      <c r="F42" s="1" t="s">
        <v>81</v>
      </c>
      <c r="G42" s="1"/>
      <c r="I42" s="1" t="s">
        <v>77</v>
      </c>
      <c r="J42" s="5"/>
      <c r="K42" s="1" t="s">
        <v>77</v>
      </c>
      <c r="L42" s="1"/>
      <c r="M42" s="1" t="s">
        <v>77</v>
      </c>
      <c r="N42" s="1"/>
      <c r="O42" s="1" t="s">
        <v>77</v>
      </c>
      <c r="P42" s="1"/>
      <c r="Q42" s="1" t="s">
        <v>77</v>
      </c>
      <c r="R42" s="1"/>
      <c r="S42" s="1" t="s">
        <v>77</v>
      </c>
      <c r="T42" s="1"/>
      <c r="U42" s="1" t="s">
        <v>77</v>
      </c>
      <c r="V42" s="1"/>
      <c r="W42" s="1" t="s">
        <v>77</v>
      </c>
      <c r="X42" s="1"/>
      <c r="Y42" s="1" t="s">
        <v>77</v>
      </c>
      <c r="Z42" s="1"/>
      <c r="AA42" s="29">
        <f t="shared" si="0"/>
        <v>0</v>
      </c>
    </row>
    <row r="43" spans="2:27" x14ac:dyDescent="0.2">
      <c r="B43" s="1"/>
      <c r="C43" s="1"/>
      <c r="D43" s="1"/>
      <c r="E43" s="1"/>
      <c r="F43" s="1" t="s">
        <v>82</v>
      </c>
      <c r="G43" s="1"/>
      <c r="I43" s="1" t="s">
        <v>78</v>
      </c>
      <c r="J43" s="5"/>
      <c r="K43" s="1" t="s">
        <v>78</v>
      </c>
      <c r="L43" s="1"/>
      <c r="M43" s="1" t="s">
        <v>78</v>
      </c>
      <c r="N43" s="1"/>
      <c r="O43" s="1" t="s">
        <v>78</v>
      </c>
      <c r="P43" s="1"/>
      <c r="Q43" s="1" t="s">
        <v>78</v>
      </c>
      <c r="R43" s="1"/>
      <c r="S43" s="1" t="s">
        <v>78</v>
      </c>
      <c r="T43" s="1"/>
      <c r="U43" s="1" t="s">
        <v>78</v>
      </c>
      <c r="V43" s="1"/>
      <c r="W43" s="1" t="s">
        <v>78</v>
      </c>
      <c r="X43" s="1"/>
      <c r="Y43" s="1" t="s">
        <v>78</v>
      </c>
      <c r="Z43" s="1"/>
      <c r="AA43" s="29">
        <f t="shared" si="0"/>
        <v>0</v>
      </c>
    </row>
    <row r="44" spans="2:27" x14ac:dyDescent="0.2">
      <c r="B44" s="1"/>
      <c r="C44" s="1"/>
      <c r="D44" s="1"/>
      <c r="E44" s="1"/>
      <c r="F44" s="1" t="s">
        <v>83</v>
      </c>
      <c r="G44" s="1"/>
      <c r="I44" s="1" t="s">
        <v>79</v>
      </c>
      <c r="J44" s="5"/>
      <c r="K44" s="1" t="s">
        <v>79</v>
      </c>
      <c r="L44" s="1"/>
      <c r="M44" s="1" t="s">
        <v>79</v>
      </c>
      <c r="N44" s="1"/>
      <c r="O44" s="1" t="s">
        <v>79</v>
      </c>
      <c r="P44" s="1"/>
      <c r="Q44" s="1" t="s">
        <v>79</v>
      </c>
      <c r="R44" s="1"/>
      <c r="S44" s="1" t="s">
        <v>79</v>
      </c>
      <c r="T44" s="1"/>
      <c r="U44" s="1" t="s">
        <v>79</v>
      </c>
      <c r="V44" s="1"/>
      <c r="W44" s="1" t="s">
        <v>79</v>
      </c>
      <c r="X44" s="1"/>
      <c r="Y44" s="1" t="s">
        <v>79</v>
      </c>
      <c r="Z44" s="1"/>
      <c r="AA44" s="29">
        <f t="shared" si="0"/>
        <v>0</v>
      </c>
    </row>
    <row r="45" spans="2:27" x14ac:dyDescent="0.2">
      <c r="B45" s="1"/>
      <c r="C45" s="1"/>
      <c r="D45" s="1"/>
      <c r="E45" s="1"/>
      <c r="F45" s="1" t="s">
        <v>84</v>
      </c>
      <c r="G45" s="1"/>
      <c r="I45" s="1" t="s">
        <v>80</v>
      </c>
      <c r="J45" s="5"/>
      <c r="K45" s="1" t="s">
        <v>80</v>
      </c>
      <c r="L45" s="1"/>
      <c r="M45" s="1" t="s">
        <v>80</v>
      </c>
      <c r="N45" s="1"/>
      <c r="O45" s="1" t="s">
        <v>80</v>
      </c>
      <c r="P45" s="1"/>
      <c r="Q45" s="1" t="s">
        <v>80</v>
      </c>
      <c r="R45" s="1"/>
      <c r="S45" s="1" t="s">
        <v>80</v>
      </c>
      <c r="T45" s="1"/>
      <c r="U45" s="1" t="s">
        <v>80</v>
      </c>
      <c r="V45" s="1"/>
      <c r="W45" s="1" t="s">
        <v>80</v>
      </c>
      <c r="X45" s="1"/>
      <c r="Y45" s="1" t="s">
        <v>80</v>
      </c>
      <c r="Z45" s="1"/>
      <c r="AA45" s="29">
        <f t="shared" si="0"/>
        <v>0</v>
      </c>
    </row>
    <row r="46" spans="2:27" x14ac:dyDescent="0.2">
      <c r="B46" s="1"/>
      <c r="C46" s="1"/>
      <c r="D46" s="1"/>
      <c r="E46" s="1"/>
      <c r="F46" s="1" t="s">
        <v>85</v>
      </c>
      <c r="G46" s="1"/>
      <c r="I46" s="1" t="s">
        <v>81</v>
      </c>
      <c r="J46" s="5"/>
      <c r="K46" s="1" t="s">
        <v>81</v>
      </c>
      <c r="L46" s="1"/>
      <c r="M46" s="1" t="s">
        <v>81</v>
      </c>
      <c r="N46" s="1"/>
      <c r="O46" s="1" t="s">
        <v>81</v>
      </c>
      <c r="P46" s="1"/>
      <c r="Q46" s="1" t="s">
        <v>81</v>
      </c>
      <c r="R46" s="1"/>
      <c r="S46" s="1" t="s">
        <v>81</v>
      </c>
      <c r="T46" s="1"/>
      <c r="U46" s="1" t="s">
        <v>81</v>
      </c>
      <c r="V46" s="1"/>
      <c r="W46" s="1" t="s">
        <v>81</v>
      </c>
      <c r="X46" s="1"/>
      <c r="Y46" s="1" t="s">
        <v>81</v>
      </c>
      <c r="Z46" s="1"/>
      <c r="AA46" s="29">
        <f t="shared" si="0"/>
        <v>0</v>
      </c>
    </row>
    <row r="47" spans="2:27" x14ac:dyDescent="0.2">
      <c r="B47" s="1"/>
      <c r="C47" s="1"/>
      <c r="D47" s="1"/>
      <c r="E47" s="1"/>
      <c r="F47" s="1" t="s">
        <v>86</v>
      </c>
      <c r="G47" s="1"/>
      <c r="I47" s="1" t="s">
        <v>82</v>
      </c>
      <c r="J47" s="5"/>
      <c r="K47" s="1" t="s">
        <v>82</v>
      </c>
      <c r="L47" s="1"/>
      <c r="M47" s="1" t="s">
        <v>82</v>
      </c>
      <c r="N47" s="1"/>
      <c r="O47" s="1" t="s">
        <v>82</v>
      </c>
      <c r="P47" s="1"/>
      <c r="Q47" s="1" t="s">
        <v>82</v>
      </c>
      <c r="R47" s="1"/>
      <c r="S47" s="1" t="s">
        <v>82</v>
      </c>
      <c r="T47" s="1"/>
      <c r="U47" s="1" t="s">
        <v>82</v>
      </c>
      <c r="V47" s="1"/>
      <c r="W47" s="1" t="s">
        <v>82</v>
      </c>
      <c r="X47" s="1"/>
      <c r="Y47" s="1" t="s">
        <v>82</v>
      </c>
      <c r="Z47" s="1"/>
      <c r="AA47" s="29">
        <f t="shared" si="0"/>
        <v>0</v>
      </c>
    </row>
    <row r="48" spans="2:27" x14ac:dyDescent="0.2">
      <c r="B48" s="1"/>
      <c r="C48" s="1"/>
      <c r="D48" s="1"/>
      <c r="E48" s="1"/>
      <c r="F48" s="1" t="s">
        <v>87</v>
      </c>
      <c r="G48" s="1"/>
      <c r="I48" s="1" t="s">
        <v>83</v>
      </c>
      <c r="J48" s="5"/>
      <c r="K48" s="1" t="s">
        <v>83</v>
      </c>
      <c r="L48" s="1"/>
      <c r="M48" s="1" t="s">
        <v>83</v>
      </c>
      <c r="N48" s="1"/>
      <c r="O48" s="1" t="s">
        <v>83</v>
      </c>
      <c r="P48" s="1"/>
      <c r="Q48" s="1" t="s">
        <v>83</v>
      </c>
      <c r="R48" s="1"/>
      <c r="S48" s="1" t="s">
        <v>83</v>
      </c>
      <c r="T48" s="1"/>
      <c r="U48" s="1" t="s">
        <v>83</v>
      </c>
      <c r="V48" s="1"/>
      <c r="W48" s="1" t="s">
        <v>83</v>
      </c>
      <c r="X48" s="1"/>
      <c r="Y48" s="1" t="s">
        <v>83</v>
      </c>
      <c r="Z48" s="1"/>
      <c r="AA48" s="29">
        <f t="shared" si="0"/>
        <v>0</v>
      </c>
    </row>
    <row r="49" spans="2:27" x14ac:dyDescent="0.2">
      <c r="B49" s="1"/>
      <c r="C49" s="1"/>
      <c r="D49" s="1"/>
      <c r="E49" s="1"/>
      <c r="F49" s="1" t="s">
        <v>88</v>
      </c>
      <c r="G49" s="1"/>
      <c r="I49" s="1" t="s">
        <v>84</v>
      </c>
      <c r="J49" s="5"/>
      <c r="K49" s="1" t="s">
        <v>84</v>
      </c>
      <c r="L49" s="1"/>
      <c r="M49" s="1" t="s">
        <v>84</v>
      </c>
      <c r="N49" s="1"/>
      <c r="O49" s="1" t="s">
        <v>84</v>
      </c>
      <c r="P49" s="1"/>
      <c r="Q49" s="1" t="s">
        <v>84</v>
      </c>
      <c r="R49" s="1"/>
      <c r="S49" s="1" t="s">
        <v>84</v>
      </c>
      <c r="T49" s="1"/>
      <c r="U49" s="1" t="s">
        <v>84</v>
      </c>
      <c r="V49" s="1"/>
      <c r="W49" s="1" t="s">
        <v>84</v>
      </c>
      <c r="X49" s="1"/>
      <c r="Y49" s="1" t="s">
        <v>84</v>
      </c>
      <c r="Z49" s="1"/>
      <c r="AA49" s="29">
        <f t="shared" si="0"/>
        <v>0</v>
      </c>
    </row>
    <row r="50" spans="2:27" x14ac:dyDescent="0.2">
      <c r="B50" s="1"/>
      <c r="C50" s="1"/>
      <c r="D50" s="1"/>
      <c r="E50" s="1"/>
      <c r="F50" s="1" t="s">
        <v>89</v>
      </c>
      <c r="G50" s="1"/>
      <c r="I50" s="1" t="s">
        <v>85</v>
      </c>
      <c r="J50" s="5"/>
      <c r="K50" s="1" t="s">
        <v>85</v>
      </c>
      <c r="L50" s="1"/>
      <c r="M50" s="1" t="s">
        <v>85</v>
      </c>
      <c r="N50" s="1"/>
      <c r="O50" s="1" t="s">
        <v>85</v>
      </c>
      <c r="P50" s="1"/>
      <c r="Q50" s="1" t="s">
        <v>85</v>
      </c>
      <c r="R50" s="1"/>
      <c r="S50" s="1" t="s">
        <v>85</v>
      </c>
      <c r="T50" s="1"/>
      <c r="U50" s="1" t="s">
        <v>85</v>
      </c>
      <c r="V50" s="1"/>
      <c r="W50" s="1" t="s">
        <v>85</v>
      </c>
      <c r="X50" s="1"/>
      <c r="Y50" s="1" t="s">
        <v>85</v>
      </c>
      <c r="Z50" s="1"/>
      <c r="AA50" s="29">
        <f t="shared" si="0"/>
        <v>0</v>
      </c>
    </row>
    <row r="51" spans="2:27" x14ac:dyDescent="0.2">
      <c r="B51" s="1"/>
      <c r="C51" s="1"/>
      <c r="D51" s="1"/>
      <c r="E51" s="1"/>
      <c r="F51" s="1" t="s">
        <v>90</v>
      </c>
      <c r="G51" s="1"/>
      <c r="I51" s="1" t="s">
        <v>86</v>
      </c>
      <c r="J51" s="5"/>
      <c r="K51" s="1" t="s">
        <v>86</v>
      </c>
      <c r="L51" s="1"/>
      <c r="M51" s="1" t="s">
        <v>86</v>
      </c>
      <c r="N51" s="1"/>
      <c r="O51" s="1" t="s">
        <v>86</v>
      </c>
      <c r="P51" s="1"/>
      <c r="Q51" s="1" t="s">
        <v>86</v>
      </c>
      <c r="R51" s="1"/>
      <c r="S51" s="1" t="s">
        <v>86</v>
      </c>
      <c r="T51" s="1"/>
      <c r="U51" s="1" t="s">
        <v>86</v>
      </c>
      <c r="V51" s="1"/>
      <c r="W51" s="1" t="s">
        <v>86</v>
      </c>
      <c r="X51" s="1"/>
      <c r="Y51" s="1" t="s">
        <v>86</v>
      </c>
      <c r="Z51" s="1"/>
      <c r="AA51" s="29">
        <f t="shared" si="0"/>
        <v>0</v>
      </c>
    </row>
    <row r="52" spans="2:27" x14ac:dyDescent="0.2">
      <c r="B52" s="1"/>
      <c r="C52" s="1"/>
      <c r="D52" s="1"/>
      <c r="E52" s="1"/>
      <c r="F52" s="1" t="s">
        <v>91</v>
      </c>
      <c r="G52" s="1"/>
      <c r="I52" s="1" t="s">
        <v>87</v>
      </c>
      <c r="J52" s="5"/>
      <c r="K52" s="1" t="s">
        <v>87</v>
      </c>
      <c r="L52" s="1"/>
      <c r="M52" s="1" t="s">
        <v>87</v>
      </c>
      <c r="N52" s="1"/>
      <c r="O52" s="1" t="s">
        <v>87</v>
      </c>
      <c r="P52" s="1"/>
      <c r="Q52" s="1" t="s">
        <v>87</v>
      </c>
      <c r="R52" s="1"/>
      <c r="S52" s="1" t="s">
        <v>87</v>
      </c>
      <c r="T52" s="1"/>
      <c r="U52" s="1" t="s">
        <v>87</v>
      </c>
      <c r="V52" s="1"/>
      <c r="W52" s="1" t="s">
        <v>87</v>
      </c>
      <c r="X52" s="1"/>
      <c r="Y52" s="1" t="s">
        <v>87</v>
      </c>
      <c r="Z52" s="1"/>
      <c r="AA52" s="29">
        <f t="shared" si="0"/>
        <v>0</v>
      </c>
    </row>
    <row r="53" spans="2:27" x14ac:dyDescent="0.2">
      <c r="B53" s="1"/>
      <c r="C53" s="1"/>
      <c r="D53" s="1"/>
      <c r="E53" s="1"/>
      <c r="F53" s="1" t="s">
        <v>92</v>
      </c>
      <c r="G53" s="1"/>
      <c r="I53" s="1" t="s">
        <v>88</v>
      </c>
      <c r="J53" s="5"/>
      <c r="K53" s="1" t="s">
        <v>88</v>
      </c>
      <c r="L53" s="1"/>
      <c r="M53" s="1" t="s">
        <v>88</v>
      </c>
      <c r="N53" s="1"/>
      <c r="O53" s="1" t="s">
        <v>88</v>
      </c>
      <c r="P53" s="1"/>
      <c r="Q53" s="1" t="s">
        <v>88</v>
      </c>
      <c r="R53" s="1"/>
      <c r="S53" s="1" t="s">
        <v>88</v>
      </c>
      <c r="T53" s="1"/>
      <c r="U53" s="1" t="s">
        <v>88</v>
      </c>
      <c r="V53" s="1"/>
      <c r="W53" s="1" t="s">
        <v>88</v>
      </c>
      <c r="X53" s="1"/>
      <c r="Y53" s="1" t="s">
        <v>88</v>
      </c>
      <c r="Z53" s="1"/>
      <c r="AA53" s="29">
        <f t="shared" si="0"/>
        <v>0</v>
      </c>
    </row>
    <row r="54" spans="2:27" x14ac:dyDescent="0.2">
      <c r="B54" s="1"/>
      <c r="C54" s="1"/>
      <c r="D54" s="1"/>
      <c r="E54" s="1"/>
      <c r="F54" s="1" t="s">
        <v>93</v>
      </c>
      <c r="G54" s="1"/>
      <c r="I54" s="1" t="s">
        <v>89</v>
      </c>
      <c r="J54" s="5"/>
      <c r="K54" s="1" t="s">
        <v>89</v>
      </c>
      <c r="L54" s="1"/>
      <c r="M54" s="1" t="s">
        <v>89</v>
      </c>
      <c r="N54" s="1"/>
      <c r="O54" s="1" t="s">
        <v>89</v>
      </c>
      <c r="P54" s="1"/>
      <c r="Q54" s="1" t="s">
        <v>89</v>
      </c>
      <c r="R54" s="1"/>
      <c r="S54" s="1" t="s">
        <v>89</v>
      </c>
      <c r="T54" s="1"/>
      <c r="U54" s="1" t="s">
        <v>89</v>
      </c>
      <c r="V54" s="1"/>
      <c r="W54" s="1" t="s">
        <v>89</v>
      </c>
      <c r="X54" s="1"/>
      <c r="Y54" s="1" t="s">
        <v>89</v>
      </c>
      <c r="Z54" s="1"/>
      <c r="AA54" s="29">
        <f t="shared" si="0"/>
        <v>0</v>
      </c>
    </row>
    <row r="55" spans="2:27" x14ac:dyDescent="0.2">
      <c r="B55" s="1"/>
      <c r="C55" s="1"/>
      <c r="D55" s="1"/>
      <c r="E55" s="1"/>
      <c r="F55" s="1" t="s">
        <v>94</v>
      </c>
      <c r="G55" s="1"/>
      <c r="I55" s="1" t="s">
        <v>90</v>
      </c>
      <c r="J55" s="5"/>
      <c r="K55" s="1" t="s">
        <v>90</v>
      </c>
      <c r="L55" s="1"/>
      <c r="M55" s="1" t="s">
        <v>90</v>
      </c>
      <c r="N55" s="1"/>
      <c r="O55" s="1" t="s">
        <v>90</v>
      </c>
      <c r="P55" s="1"/>
      <c r="Q55" s="1" t="s">
        <v>90</v>
      </c>
      <c r="R55" s="1"/>
      <c r="S55" s="1" t="s">
        <v>90</v>
      </c>
      <c r="T55" s="1"/>
      <c r="U55" s="1" t="s">
        <v>90</v>
      </c>
      <c r="V55" s="1"/>
      <c r="W55" s="1" t="s">
        <v>90</v>
      </c>
      <c r="X55" s="1"/>
      <c r="Y55" s="1" t="s">
        <v>90</v>
      </c>
      <c r="Z55" s="1"/>
      <c r="AA55" s="29">
        <f t="shared" si="0"/>
        <v>0</v>
      </c>
    </row>
    <row r="56" spans="2:27" x14ac:dyDescent="0.2">
      <c r="B56" s="1"/>
      <c r="C56" s="1"/>
      <c r="D56" s="1"/>
      <c r="E56" s="1"/>
      <c r="F56" s="1" t="s">
        <v>95</v>
      </c>
      <c r="G56" s="1"/>
      <c r="I56" s="1" t="s">
        <v>91</v>
      </c>
      <c r="J56" s="5"/>
      <c r="K56" s="1" t="s">
        <v>91</v>
      </c>
      <c r="L56" s="1"/>
      <c r="M56" s="1" t="s">
        <v>91</v>
      </c>
      <c r="N56" s="1"/>
      <c r="O56" s="1" t="s">
        <v>91</v>
      </c>
      <c r="P56" s="1"/>
      <c r="Q56" s="1" t="s">
        <v>91</v>
      </c>
      <c r="R56" s="1"/>
      <c r="S56" s="1" t="s">
        <v>91</v>
      </c>
      <c r="T56" s="1"/>
      <c r="U56" s="1" t="s">
        <v>91</v>
      </c>
      <c r="V56" s="1"/>
      <c r="W56" s="1" t="s">
        <v>91</v>
      </c>
      <c r="X56" s="1"/>
      <c r="Y56" s="1" t="s">
        <v>91</v>
      </c>
      <c r="Z56" s="1"/>
      <c r="AA56" s="29">
        <f t="shared" si="0"/>
        <v>0</v>
      </c>
    </row>
    <row r="57" spans="2:27" x14ac:dyDescent="0.2">
      <c r="B57" s="1"/>
      <c r="C57" s="1"/>
      <c r="D57" s="1"/>
      <c r="E57" s="1"/>
      <c r="F57" s="1" t="s">
        <v>96</v>
      </c>
      <c r="G57" s="1"/>
      <c r="I57" s="1" t="s">
        <v>92</v>
      </c>
      <c r="J57" s="5"/>
      <c r="K57" s="1" t="s">
        <v>92</v>
      </c>
      <c r="L57" s="1"/>
      <c r="M57" s="1" t="s">
        <v>92</v>
      </c>
      <c r="N57" s="1"/>
      <c r="O57" s="1" t="s">
        <v>92</v>
      </c>
      <c r="P57" s="1"/>
      <c r="Q57" s="1" t="s">
        <v>92</v>
      </c>
      <c r="R57" s="1"/>
      <c r="S57" s="1" t="s">
        <v>92</v>
      </c>
      <c r="T57" s="1"/>
      <c r="U57" s="1" t="s">
        <v>92</v>
      </c>
      <c r="V57" s="1"/>
      <c r="W57" s="1" t="s">
        <v>92</v>
      </c>
      <c r="X57" s="1"/>
      <c r="Y57" s="1" t="s">
        <v>92</v>
      </c>
      <c r="Z57" s="1"/>
      <c r="AA57" s="29">
        <f t="shared" si="0"/>
        <v>0</v>
      </c>
    </row>
    <row r="58" spans="2:27" x14ac:dyDescent="0.2">
      <c r="B58" s="1"/>
      <c r="C58" s="1"/>
      <c r="D58" s="1"/>
      <c r="E58" s="1"/>
      <c r="F58" s="1" t="s">
        <v>97</v>
      </c>
      <c r="G58" s="1"/>
      <c r="I58" s="1" t="s">
        <v>93</v>
      </c>
      <c r="J58" s="5"/>
      <c r="K58" s="1" t="s">
        <v>93</v>
      </c>
      <c r="L58" s="1"/>
      <c r="M58" s="1" t="s">
        <v>93</v>
      </c>
      <c r="N58" s="1"/>
      <c r="O58" s="1" t="s">
        <v>93</v>
      </c>
      <c r="P58" s="1"/>
      <c r="Q58" s="1" t="s">
        <v>93</v>
      </c>
      <c r="R58" s="1"/>
      <c r="S58" s="1" t="s">
        <v>93</v>
      </c>
      <c r="T58" s="1"/>
      <c r="U58" s="1" t="s">
        <v>93</v>
      </c>
      <c r="V58" s="1"/>
      <c r="W58" s="1" t="s">
        <v>93</v>
      </c>
      <c r="X58" s="1"/>
      <c r="Y58" s="1" t="s">
        <v>93</v>
      </c>
      <c r="Z58" s="1"/>
      <c r="AA58" s="29">
        <f t="shared" si="0"/>
        <v>0</v>
      </c>
    </row>
    <row r="59" spans="2:27" x14ac:dyDescent="0.2">
      <c r="B59" s="1"/>
      <c r="C59" s="1"/>
      <c r="D59" s="1"/>
      <c r="E59" s="1"/>
      <c r="F59" s="1" t="s">
        <v>98</v>
      </c>
      <c r="G59" s="1"/>
      <c r="I59" s="1" t="s">
        <v>94</v>
      </c>
      <c r="J59" s="5"/>
      <c r="K59" s="1" t="s">
        <v>94</v>
      </c>
      <c r="L59" s="1"/>
      <c r="M59" s="1" t="s">
        <v>94</v>
      </c>
      <c r="N59" s="1"/>
      <c r="O59" s="1" t="s">
        <v>94</v>
      </c>
      <c r="P59" s="1"/>
      <c r="Q59" s="1" t="s">
        <v>94</v>
      </c>
      <c r="R59" s="1"/>
      <c r="S59" s="1" t="s">
        <v>94</v>
      </c>
      <c r="T59" s="1"/>
      <c r="U59" s="1" t="s">
        <v>94</v>
      </c>
      <c r="V59" s="1"/>
      <c r="W59" s="1" t="s">
        <v>94</v>
      </c>
      <c r="X59" s="1"/>
      <c r="Y59" s="1" t="s">
        <v>94</v>
      </c>
      <c r="Z59" s="1"/>
      <c r="AA59" s="29">
        <f t="shared" si="0"/>
        <v>0</v>
      </c>
    </row>
    <row r="60" spans="2:27" x14ac:dyDescent="0.2">
      <c r="B60" s="1"/>
      <c r="C60" s="1"/>
      <c r="D60" s="1"/>
      <c r="E60" s="1"/>
      <c r="F60" s="1" t="s">
        <v>99</v>
      </c>
      <c r="G60" s="1"/>
      <c r="I60" s="1" t="s">
        <v>95</v>
      </c>
      <c r="J60" s="5"/>
      <c r="K60" s="1" t="s">
        <v>95</v>
      </c>
      <c r="L60" s="1"/>
      <c r="M60" s="1" t="s">
        <v>95</v>
      </c>
      <c r="N60" s="1"/>
      <c r="O60" s="1" t="s">
        <v>95</v>
      </c>
      <c r="P60" s="1"/>
      <c r="Q60" s="1" t="s">
        <v>95</v>
      </c>
      <c r="R60" s="1"/>
      <c r="S60" s="1" t="s">
        <v>95</v>
      </c>
      <c r="T60" s="1"/>
      <c r="U60" s="1" t="s">
        <v>95</v>
      </c>
      <c r="V60" s="1"/>
      <c r="W60" s="1" t="s">
        <v>95</v>
      </c>
      <c r="X60" s="1"/>
      <c r="Y60" s="1" t="s">
        <v>95</v>
      </c>
      <c r="Z60" s="1"/>
      <c r="AA60" s="29">
        <f t="shared" si="0"/>
        <v>0</v>
      </c>
    </row>
    <row r="61" spans="2:27" x14ac:dyDescent="0.2">
      <c r="B61" s="1"/>
      <c r="C61" s="1"/>
      <c r="D61" s="1"/>
      <c r="E61" s="1"/>
      <c r="F61" s="1" t="s">
        <v>100</v>
      </c>
      <c r="G61" s="1"/>
      <c r="I61" s="1" t="s">
        <v>96</v>
      </c>
      <c r="J61" s="5"/>
      <c r="K61" s="1" t="s">
        <v>96</v>
      </c>
      <c r="L61" s="1"/>
      <c r="M61" s="1" t="s">
        <v>96</v>
      </c>
      <c r="N61" s="1"/>
      <c r="O61" s="1" t="s">
        <v>96</v>
      </c>
      <c r="P61" s="1"/>
      <c r="Q61" s="1" t="s">
        <v>96</v>
      </c>
      <c r="R61" s="1"/>
      <c r="S61" s="1" t="s">
        <v>96</v>
      </c>
      <c r="T61" s="1"/>
      <c r="U61" s="1" t="s">
        <v>96</v>
      </c>
      <c r="V61" s="1"/>
      <c r="W61" s="1" t="s">
        <v>96</v>
      </c>
      <c r="X61" s="1"/>
      <c r="Y61" s="1" t="s">
        <v>96</v>
      </c>
      <c r="Z61" s="1"/>
      <c r="AA61" s="29">
        <f t="shared" si="0"/>
        <v>0</v>
      </c>
    </row>
    <row r="62" spans="2:27" x14ac:dyDescent="0.2">
      <c r="B62" s="1"/>
      <c r="C62" s="1"/>
      <c r="D62" s="1"/>
      <c r="E62" s="1"/>
      <c r="F62" s="1" t="s">
        <v>101</v>
      </c>
      <c r="G62" s="1"/>
      <c r="I62" s="1" t="s">
        <v>97</v>
      </c>
      <c r="J62" s="5"/>
      <c r="K62" s="1" t="s">
        <v>97</v>
      </c>
      <c r="L62" s="1"/>
      <c r="M62" s="1" t="s">
        <v>97</v>
      </c>
      <c r="N62" s="1"/>
      <c r="O62" s="1" t="s">
        <v>97</v>
      </c>
      <c r="P62" s="1"/>
      <c r="Q62" s="1" t="s">
        <v>97</v>
      </c>
      <c r="R62" s="1"/>
      <c r="S62" s="1" t="s">
        <v>97</v>
      </c>
      <c r="T62" s="1"/>
      <c r="U62" s="1" t="s">
        <v>97</v>
      </c>
      <c r="V62" s="1"/>
      <c r="W62" s="1" t="s">
        <v>97</v>
      </c>
      <c r="X62" s="1"/>
      <c r="Y62" s="1" t="s">
        <v>97</v>
      </c>
      <c r="Z62" s="1"/>
      <c r="AA62" s="29">
        <f t="shared" si="0"/>
        <v>0</v>
      </c>
    </row>
    <row r="63" spans="2:27" x14ac:dyDescent="0.2">
      <c r="B63" s="1"/>
      <c r="C63" s="1"/>
      <c r="D63" s="1"/>
      <c r="E63" s="1"/>
      <c r="F63" s="1" t="s">
        <v>102</v>
      </c>
      <c r="G63" s="1"/>
      <c r="I63" s="1" t="s">
        <v>98</v>
      </c>
      <c r="J63" s="5"/>
      <c r="K63" s="1" t="s">
        <v>98</v>
      </c>
      <c r="L63" s="1"/>
      <c r="M63" s="1" t="s">
        <v>98</v>
      </c>
      <c r="N63" s="1"/>
      <c r="O63" s="1" t="s">
        <v>98</v>
      </c>
      <c r="P63" s="1"/>
      <c r="Q63" s="1" t="s">
        <v>98</v>
      </c>
      <c r="R63" s="1"/>
      <c r="S63" s="1" t="s">
        <v>98</v>
      </c>
      <c r="T63" s="1"/>
      <c r="U63" s="1" t="s">
        <v>98</v>
      </c>
      <c r="V63" s="1"/>
      <c r="W63" s="1" t="s">
        <v>98</v>
      </c>
      <c r="X63" s="1"/>
      <c r="Y63" s="1" t="s">
        <v>98</v>
      </c>
      <c r="Z63" s="1"/>
      <c r="AA63" s="29">
        <f t="shared" si="0"/>
        <v>0</v>
      </c>
    </row>
    <row r="64" spans="2:27" x14ac:dyDescent="0.2">
      <c r="B64" s="1"/>
      <c r="C64" s="1"/>
      <c r="D64" s="1"/>
      <c r="E64" s="1"/>
      <c r="F64" s="1" t="s">
        <v>103</v>
      </c>
      <c r="G64" s="1"/>
      <c r="I64" s="1" t="s">
        <v>99</v>
      </c>
      <c r="J64" s="5"/>
      <c r="K64" s="1" t="s">
        <v>99</v>
      </c>
      <c r="L64" s="1"/>
      <c r="M64" s="1" t="s">
        <v>99</v>
      </c>
      <c r="N64" s="1"/>
      <c r="O64" s="1" t="s">
        <v>99</v>
      </c>
      <c r="P64" s="1"/>
      <c r="Q64" s="1" t="s">
        <v>99</v>
      </c>
      <c r="R64" s="1"/>
      <c r="S64" s="1" t="s">
        <v>99</v>
      </c>
      <c r="T64" s="1"/>
      <c r="U64" s="1" t="s">
        <v>99</v>
      </c>
      <c r="V64" s="1"/>
      <c r="W64" s="1" t="s">
        <v>99</v>
      </c>
      <c r="X64" s="1"/>
      <c r="Y64" s="1" t="s">
        <v>99</v>
      </c>
      <c r="Z64" s="1"/>
      <c r="AA64" s="29">
        <f t="shared" si="0"/>
        <v>0</v>
      </c>
    </row>
    <row r="65" spans="2:27" x14ac:dyDescent="0.2">
      <c r="B65" s="1"/>
      <c r="C65" s="1"/>
      <c r="D65" s="1"/>
      <c r="E65" s="1"/>
      <c r="F65" s="1" t="s">
        <v>104</v>
      </c>
      <c r="G65" s="1"/>
      <c r="I65" s="1" t="s">
        <v>100</v>
      </c>
      <c r="J65" s="5"/>
      <c r="K65" s="1" t="s">
        <v>100</v>
      </c>
      <c r="L65" s="1"/>
      <c r="M65" s="1" t="s">
        <v>100</v>
      </c>
      <c r="N65" s="1"/>
      <c r="O65" s="1" t="s">
        <v>100</v>
      </c>
      <c r="P65" s="1"/>
      <c r="Q65" s="1" t="s">
        <v>100</v>
      </c>
      <c r="R65" s="1"/>
      <c r="S65" s="1" t="s">
        <v>100</v>
      </c>
      <c r="T65" s="1"/>
      <c r="U65" s="1" t="s">
        <v>100</v>
      </c>
      <c r="V65" s="1"/>
      <c r="W65" s="1" t="s">
        <v>100</v>
      </c>
      <c r="X65" s="1"/>
      <c r="Y65" s="1" t="s">
        <v>100</v>
      </c>
      <c r="Z65" s="1"/>
      <c r="AA65" s="29">
        <f t="shared" si="0"/>
        <v>0</v>
      </c>
    </row>
    <row r="66" spans="2:27" x14ac:dyDescent="0.2">
      <c r="B66" s="1"/>
      <c r="C66" s="1"/>
      <c r="D66" s="1"/>
      <c r="E66" s="1"/>
      <c r="F66" s="1" t="s">
        <v>105</v>
      </c>
      <c r="G66" s="1"/>
      <c r="I66" s="1" t="s">
        <v>101</v>
      </c>
      <c r="J66" s="5"/>
      <c r="K66" s="1" t="s">
        <v>101</v>
      </c>
      <c r="L66" s="1"/>
      <c r="M66" s="1" t="s">
        <v>101</v>
      </c>
      <c r="N66" s="1"/>
      <c r="O66" s="1" t="s">
        <v>101</v>
      </c>
      <c r="P66" s="1"/>
      <c r="Q66" s="1" t="s">
        <v>101</v>
      </c>
      <c r="R66" s="1"/>
      <c r="S66" s="1" t="s">
        <v>101</v>
      </c>
      <c r="T66" s="1"/>
      <c r="U66" s="1" t="s">
        <v>101</v>
      </c>
      <c r="V66" s="1"/>
      <c r="W66" s="1" t="s">
        <v>101</v>
      </c>
      <c r="X66" s="1"/>
      <c r="Y66" s="1" t="s">
        <v>101</v>
      </c>
      <c r="Z66" s="1"/>
      <c r="AA66" s="29">
        <f t="shared" si="0"/>
        <v>0</v>
      </c>
    </row>
    <row r="67" spans="2:27" x14ac:dyDescent="0.2">
      <c r="B67" s="1"/>
      <c r="C67" s="1"/>
      <c r="D67" s="1"/>
      <c r="E67" s="1"/>
      <c r="F67" s="1" t="s">
        <v>106</v>
      </c>
      <c r="G67" s="1"/>
      <c r="I67" s="1" t="s">
        <v>102</v>
      </c>
      <c r="J67" s="5"/>
      <c r="K67" s="1" t="s">
        <v>102</v>
      </c>
      <c r="L67" s="1"/>
      <c r="M67" s="1" t="s">
        <v>102</v>
      </c>
      <c r="N67" s="1"/>
      <c r="O67" s="1" t="s">
        <v>102</v>
      </c>
      <c r="P67" s="1"/>
      <c r="Q67" s="1" t="s">
        <v>102</v>
      </c>
      <c r="R67" s="1"/>
      <c r="S67" s="1" t="s">
        <v>102</v>
      </c>
      <c r="T67" s="1"/>
      <c r="U67" s="1" t="s">
        <v>102</v>
      </c>
      <c r="V67" s="1"/>
      <c r="W67" s="1" t="s">
        <v>102</v>
      </c>
      <c r="X67" s="1"/>
      <c r="Y67" s="1" t="s">
        <v>102</v>
      </c>
      <c r="Z67" s="1"/>
      <c r="AA67" s="29">
        <f t="shared" si="0"/>
        <v>0</v>
      </c>
    </row>
    <row r="68" spans="2:27" x14ac:dyDescent="0.2">
      <c r="B68" s="1"/>
      <c r="C68" s="1"/>
      <c r="D68" s="1"/>
      <c r="E68" s="1"/>
      <c r="F68" s="1" t="s">
        <v>107</v>
      </c>
      <c r="G68" s="1"/>
      <c r="I68" s="1" t="s">
        <v>103</v>
      </c>
      <c r="J68" s="5"/>
      <c r="K68" s="1" t="s">
        <v>103</v>
      </c>
      <c r="L68" s="1"/>
      <c r="M68" s="1" t="s">
        <v>103</v>
      </c>
      <c r="N68" s="1"/>
      <c r="O68" s="1" t="s">
        <v>103</v>
      </c>
      <c r="P68" s="1"/>
      <c r="Q68" s="1" t="s">
        <v>103</v>
      </c>
      <c r="R68" s="1"/>
      <c r="S68" s="1" t="s">
        <v>103</v>
      </c>
      <c r="T68" s="1"/>
      <c r="U68" s="1" t="s">
        <v>103</v>
      </c>
      <c r="V68" s="1"/>
      <c r="W68" s="1" t="s">
        <v>103</v>
      </c>
      <c r="X68" s="1"/>
      <c r="Y68" s="1" t="s">
        <v>103</v>
      </c>
      <c r="Z68" s="1"/>
      <c r="AA68" s="29">
        <f t="shared" si="0"/>
        <v>0</v>
      </c>
    </row>
    <row r="69" spans="2:27" x14ac:dyDescent="0.2">
      <c r="B69" s="1"/>
      <c r="C69" s="1"/>
      <c r="D69" s="1"/>
      <c r="E69" s="1"/>
      <c r="F69" s="1" t="s">
        <v>108</v>
      </c>
      <c r="G69" s="1"/>
      <c r="I69" s="1" t="s">
        <v>104</v>
      </c>
      <c r="J69" s="5"/>
      <c r="K69" s="1" t="s">
        <v>104</v>
      </c>
      <c r="L69" s="1"/>
      <c r="M69" s="1" t="s">
        <v>104</v>
      </c>
      <c r="N69" s="1"/>
      <c r="O69" s="1" t="s">
        <v>104</v>
      </c>
      <c r="P69" s="1"/>
      <c r="Q69" s="1" t="s">
        <v>104</v>
      </c>
      <c r="R69" s="1"/>
      <c r="S69" s="1" t="s">
        <v>104</v>
      </c>
      <c r="T69" s="1"/>
      <c r="U69" s="1" t="s">
        <v>104</v>
      </c>
      <c r="V69" s="1"/>
      <c r="W69" s="1" t="s">
        <v>104</v>
      </c>
      <c r="X69" s="1"/>
      <c r="Y69" s="1" t="s">
        <v>104</v>
      </c>
      <c r="Z69" s="1"/>
      <c r="AA69" s="29">
        <f t="shared" si="0"/>
        <v>0</v>
      </c>
    </row>
    <row r="70" spans="2:27" x14ac:dyDescent="0.2">
      <c r="B70" s="1"/>
      <c r="C70" s="1"/>
      <c r="D70" s="1"/>
      <c r="E70" s="1"/>
      <c r="F70" s="1" t="s">
        <v>109</v>
      </c>
      <c r="G70" s="1"/>
      <c r="I70" s="1" t="s">
        <v>105</v>
      </c>
      <c r="J70" s="5"/>
      <c r="K70" s="1" t="s">
        <v>105</v>
      </c>
      <c r="L70" s="1"/>
      <c r="M70" s="1" t="s">
        <v>105</v>
      </c>
      <c r="N70" s="1"/>
      <c r="O70" s="1" t="s">
        <v>105</v>
      </c>
      <c r="P70" s="1"/>
      <c r="Q70" s="1" t="s">
        <v>105</v>
      </c>
      <c r="R70" s="1"/>
      <c r="S70" s="1" t="s">
        <v>105</v>
      </c>
      <c r="T70" s="1"/>
      <c r="U70" s="1" t="s">
        <v>105</v>
      </c>
      <c r="V70" s="1"/>
      <c r="W70" s="1" t="s">
        <v>105</v>
      </c>
      <c r="X70" s="1"/>
      <c r="Y70" s="1" t="s">
        <v>105</v>
      </c>
      <c r="Z70" s="1"/>
      <c r="AA70" s="29">
        <f t="shared" si="0"/>
        <v>0</v>
      </c>
    </row>
    <row r="71" spans="2:27" x14ac:dyDescent="0.2">
      <c r="I71" s="1" t="s">
        <v>106</v>
      </c>
      <c r="J71" s="5"/>
      <c r="K71" s="1" t="s">
        <v>106</v>
      </c>
      <c r="L71" s="1"/>
      <c r="M71" s="1" t="s">
        <v>106</v>
      </c>
      <c r="N71" s="1"/>
      <c r="O71" s="1" t="s">
        <v>106</v>
      </c>
      <c r="P71" s="1"/>
      <c r="Q71" s="1" t="s">
        <v>106</v>
      </c>
      <c r="R71" s="1"/>
      <c r="S71" s="1" t="s">
        <v>106</v>
      </c>
      <c r="T71" s="1"/>
      <c r="U71" s="1" t="s">
        <v>106</v>
      </c>
      <c r="V71" s="1"/>
      <c r="W71" s="1" t="s">
        <v>106</v>
      </c>
      <c r="X71" s="1"/>
      <c r="Y71" s="1" t="s">
        <v>106</v>
      </c>
      <c r="Z71" s="1"/>
      <c r="AA71" s="29">
        <f t="shared" si="0"/>
        <v>0</v>
      </c>
    </row>
    <row r="72" spans="2:27" x14ac:dyDescent="0.2">
      <c r="I72" s="1" t="s">
        <v>107</v>
      </c>
      <c r="J72" s="5"/>
      <c r="K72" s="1" t="s">
        <v>107</v>
      </c>
      <c r="L72" s="1"/>
      <c r="M72" s="1" t="s">
        <v>107</v>
      </c>
      <c r="N72" s="1"/>
      <c r="O72" s="1" t="s">
        <v>107</v>
      </c>
      <c r="P72" s="1"/>
      <c r="Q72" s="1" t="s">
        <v>107</v>
      </c>
      <c r="R72" s="1"/>
      <c r="S72" s="1" t="s">
        <v>107</v>
      </c>
      <c r="T72" s="1"/>
      <c r="U72" s="1" t="s">
        <v>107</v>
      </c>
      <c r="V72" s="1"/>
      <c r="W72" s="1" t="s">
        <v>107</v>
      </c>
      <c r="X72" s="1"/>
      <c r="Y72" s="1" t="s">
        <v>107</v>
      </c>
      <c r="Z72" s="1"/>
      <c r="AA72" s="29">
        <f t="shared" ref="AA72:AA74" si="1">J72+L72+N72+P72+R72+T72+V72+X72+Z72</f>
        <v>0</v>
      </c>
    </row>
    <row r="73" spans="2:27" x14ac:dyDescent="0.2">
      <c r="I73" s="1" t="s">
        <v>108</v>
      </c>
      <c r="J73" s="5"/>
      <c r="K73" s="1" t="s">
        <v>108</v>
      </c>
      <c r="L73" s="1"/>
      <c r="M73" s="1" t="s">
        <v>108</v>
      </c>
      <c r="N73" s="1"/>
      <c r="O73" s="1" t="s">
        <v>108</v>
      </c>
      <c r="P73" s="1"/>
      <c r="Q73" s="1" t="s">
        <v>108</v>
      </c>
      <c r="R73" s="1"/>
      <c r="S73" s="1" t="s">
        <v>108</v>
      </c>
      <c r="T73" s="1"/>
      <c r="U73" s="1" t="s">
        <v>108</v>
      </c>
      <c r="V73" s="1"/>
      <c r="W73" s="1" t="s">
        <v>108</v>
      </c>
      <c r="X73" s="1"/>
      <c r="Y73" s="1" t="s">
        <v>108</v>
      </c>
      <c r="Z73" s="1"/>
      <c r="AA73" s="29">
        <f t="shared" si="1"/>
        <v>0</v>
      </c>
    </row>
    <row r="74" spans="2:27" x14ac:dyDescent="0.2">
      <c r="I74" s="1" t="s">
        <v>109</v>
      </c>
      <c r="J74" s="5"/>
      <c r="K74" s="1" t="s">
        <v>109</v>
      </c>
      <c r="L74" s="1"/>
      <c r="M74" s="1" t="s">
        <v>109</v>
      </c>
      <c r="N74" s="1"/>
      <c r="O74" s="1" t="s">
        <v>109</v>
      </c>
      <c r="P74" s="1"/>
      <c r="Q74" s="1" t="s">
        <v>109</v>
      </c>
      <c r="R74" s="1"/>
      <c r="S74" s="1" t="s">
        <v>109</v>
      </c>
      <c r="T74" s="1"/>
      <c r="U74" s="1" t="s">
        <v>109</v>
      </c>
      <c r="V74" s="1"/>
      <c r="W74" s="1" t="s">
        <v>109</v>
      </c>
      <c r="X74" s="1"/>
      <c r="Y74" s="1" t="s">
        <v>109</v>
      </c>
      <c r="Z74" s="1"/>
      <c r="AA74" s="29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6B44-A919-9641-ACB9-83337B961BDF}">
  <dimension ref="B2:G20"/>
  <sheetViews>
    <sheetView zoomScaleNormal="60" zoomScaleSheetLayoutView="100" workbookViewId="0">
      <selection activeCell="D32" sqref="D32"/>
    </sheetView>
  </sheetViews>
  <sheetFormatPr defaultRowHeight="15" x14ac:dyDescent="0.2"/>
  <cols>
    <col min="2" max="2" width="10.4921875" bestFit="1" customWidth="1"/>
    <col min="3" max="4" width="12.5078125" bestFit="1" customWidth="1"/>
    <col min="5" max="5" width="11.703125" bestFit="1" customWidth="1"/>
    <col min="6" max="6" width="9.953125" bestFit="1" customWidth="1"/>
    <col min="7" max="7" width="12.5078125" bestFit="1" customWidth="1"/>
    <col min="9" max="9" width="11.1640625" bestFit="1" customWidth="1"/>
    <col min="10" max="10" width="13.71875" bestFit="1" customWidth="1"/>
    <col min="11" max="11" width="13.046875" bestFit="1" customWidth="1"/>
    <col min="12" max="12" width="11.8359375" bestFit="1" customWidth="1"/>
    <col min="13" max="13" width="13.046875" bestFit="1" customWidth="1"/>
  </cols>
  <sheetData>
    <row r="2" spans="2:7" x14ac:dyDescent="0.2">
      <c r="B2" s="5" t="s">
        <v>0</v>
      </c>
      <c r="C2" s="5" t="s">
        <v>1</v>
      </c>
      <c r="D2" s="5" t="s">
        <v>18</v>
      </c>
      <c r="E2" s="5" t="s">
        <v>2</v>
      </c>
      <c r="F2" s="5" t="s">
        <v>3</v>
      </c>
      <c r="G2" s="5" t="s">
        <v>4</v>
      </c>
    </row>
    <row r="3" spans="2:7" x14ac:dyDescent="0.2">
      <c r="B3" s="26">
        <v>46314</v>
      </c>
      <c r="C3" s="25">
        <v>0</v>
      </c>
      <c r="D3" s="25">
        <f>Pemasukan!F34</f>
        <v>1900000</v>
      </c>
      <c r="E3" s="25">
        <f>'Belanja Barang'!G71</f>
        <v>47722500</v>
      </c>
      <c r="F3" s="25">
        <f>Oprasional!E12+Oprasional!I12+Oprasional!M12+Oprasional!Q12+Oprasional!U12+Oprasional!Y12+Oprasional!AC12+Oprasional!AG12</f>
        <v>800000</v>
      </c>
      <c r="G3" s="25">
        <f>(C3+D3) -(E3+F3)</f>
        <v>-46622500</v>
      </c>
    </row>
    <row r="4" spans="2:7" x14ac:dyDescent="0.2">
      <c r="B4" s="5"/>
      <c r="C4" s="5"/>
      <c r="D4" s="5"/>
      <c r="E4" s="5"/>
      <c r="F4" s="5"/>
      <c r="G4" s="5"/>
    </row>
    <row r="5" spans="2:7" x14ac:dyDescent="0.2">
      <c r="B5" s="5"/>
      <c r="C5" s="5"/>
      <c r="D5" s="5"/>
      <c r="E5" s="5"/>
      <c r="F5" s="5"/>
      <c r="G5" s="5"/>
    </row>
    <row r="6" spans="2:7" x14ac:dyDescent="0.2">
      <c r="B6" s="5"/>
      <c r="C6" s="5"/>
      <c r="D6" s="5"/>
      <c r="E6" s="5"/>
      <c r="F6" s="5"/>
      <c r="G6" s="5"/>
    </row>
    <row r="7" spans="2:7" x14ac:dyDescent="0.2">
      <c r="B7" s="5"/>
      <c r="C7" s="5"/>
      <c r="D7" s="5"/>
      <c r="E7" s="5"/>
      <c r="F7" s="5"/>
      <c r="G7" s="5"/>
    </row>
    <row r="8" spans="2:7" x14ac:dyDescent="0.2">
      <c r="B8" s="5"/>
      <c r="C8" s="5"/>
      <c r="D8" s="5"/>
      <c r="E8" s="5"/>
      <c r="F8" s="5"/>
      <c r="G8" s="5"/>
    </row>
    <row r="9" spans="2:7" x14ac:dyDescent="0.2">
      <c r="B9" s="5"/>
      <c r="C9" s="5"/>
      <c r="D9" s="5"/>
      <c r="E9" s="5"/>
      <c r="F9" s="5"/>
      <c r="G9" s="5"/>
    </row>
    <row r="10" spans="2:7" x14ac:dyDescent="0.2">
      <c r="B10" s="5"/>
      <c r="C10" s="5"/>
      <c r="D10" s="5"/>
      <c r="E10" s="5"/>
      <c r="F10" s="5"/>
      <c r="G10" s="5"/>
    </row>
    <row r="11" spans="2:7" x14ac:dyDescent="0.2">
      <c r="B11" s="5"/>
      <c r="C11" s="5"/>
      <c r="D11" s="5"/>
      <c r="E11" s="5"/>
      <c r="F11" s="5"/>
      <c r="G11" s="5"/>
    </row>
    <row r="12" spans="2:7" x14ac:dyDescent="0.2">
      <c r="B12" s="5"/>
      <c r="C12" s="5"/>
      <c r="D12" s="5"/>
      <c r="E12" s="5"/>
      <c r="F12" s="5"/>
      <c r="G12" s="5"/>
    </row>
    <row r="13" spans="2:7" x14ac:dyDescent="0.2">
      <c r="B13" s="5"/>
      <c r="C13" s="5"/>
      <c r="D13" s="5"/>
      <c r="E13" s="5"/>
      <c r="F13" s="5"/>
      <c r="G13" s="5"/>
    </row>
    <row r="14" spans="2:7" x14ac:dyDescent="0.2">
      <c r="B14" s="5"/>
      <c r="C14" s="5"/>
      <c r="D14" s="5"/>
      <c r="E14" s="5"/>
      <c r="F14" s="5"/>
      <c r="G14" s="5"/>
    </row>
    <row r="15" spans="2:7" x14ac:dyDescent="0.2">
      <c r="B15" s="5"/>
      <c r="C15" s="5"/>
      <c r="D15" s="5"/>
      <c r="E15" s="5"/>
      <c r="F15" s="5"/>
      <c r="G15" s="5"/>
    </row>
    <row r="16" spans="2:7" x14ac:dyDescent="0.2">
      <c r="B16" s="5"/>
      <c r="C16" s="5"/>
      <c r="D16" s="5"/>
      <c r="E16" s="5"/>
      <c r="F16" s="5"/>
      <c r="G16" s="5"/>
    </row>
    <row r="17" spans="2:7" x14ac:dyDescent="0.2">
      <c r="B17" s="5"/>
      <c r="C17" s="5"/>
      <c r="D17" s="5"/>
      <c r="E17" s="5"/>
      <c r="F17" s="5"/>
      <c r="G17" s="5"/>
    </row>
    <row r="18" spans="2:7" x14ac:dyDescent="0.2">
      <c r="B18" s="5"/>
      <c r="C18" s="5"/>
      <c r="D18" s="5"/>
      <c r="E18" s="5"/>
      <c r="F18" s="5"/>
      <c r="G18" s="5"/>
    </row>
    <row r="19" spans="2:7" x14ac:dyDescent="0.2">
      <c r="B19" s="5"/>
      <c r="C19" s="5"/>
      <c r="D19" s="5"/>
      <c r="E19" s="5"/>
      <c r="F19" s="5"/>
      <c r="G19" s="5"/>
    </row>
    <row r="20" spans="2:7" x14ac:dyDescent="0.2">
      <c r="B20" s="5"/>
      <c r="C20" s="5"/>
      <c r="D20" s="5"/>
      <c r="E20" s="5"/>
      <c r="F20" s="5"/>
      <c r="G2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A0942-1291-1048-B950-6BED9AD29198}">
  <dimension ref="B2:AG12"/>
  <sheetViews>
    <sheetView topLeftCell="X7" zoomScaleNormal="60" zoomScaleSheetLayoutView="100" workbookViewId="0">
      <selection activeCell="C25" sqref="C25"/>
    </sheetView>
  </sheetViews>
  <sheetFormatPr defaultRowHeight="15" x14ac:dyDescent="0.2"/>
  <cols>
    <col min="2" max="2" width="10.4921875" bestFit="1" customWidth="1"/>
    <col min="5" max="5" width="9.953125" bestFit="1" customWidth="1"/>
    <col min="6" max="6" width="10.35546875" bestFit="1" customWidth="1"/>
    <col min="9" max="9" width="9.81640625" bestFit="1" customWidth="1"/>
    <col min="10" max="10" width="10.35546875" bestFit="1" customWidth="1"/>
    <col min="13" max="13" width="9.81640625" bestFit="1" customWidth="1"/>
    <col min="14" max="14" width="10.35546875" bestFit="1" customWidth="1"/>
    <col min="17" max="17" width="9.81640625" bestFit="1" customWidth="1"/>
    <col min="18" max="18" width="10.35546875" bestFit="1" customWidth="1"/>
    <col min="21" max="21" width="9.81640625" bestFit="1" customWidth="1"/>
    <col min="22" max="22" width="10.35546875" bestFit="1" customWidth="1"/>
    <col min="25" max="25" width="9.81640625" bestFit="1" customWidth="1"/>
    <col min="26" max="26" width="10.35546875" bestFit="1" customWidth="1"/>
    <col min="29" max="29" width="9.81640625" bestFit="1" customWidth="1"/>
    <col min="30" max="30" width="10.4921875" bestFit="1" customWidth="1"/>
    <col min="33" max="33" width="9.953125" bestFit="1" customWidth="1"/>
  </cols>
  <sheetData>
    <row r="2" spans="2:33" x14ac:dyDescent="0.2">
      <c r="B2" s="9" t="s">
        <v>30</v>
      </c>
      <c r="C2" s="15" t="s">
        <v>33</v>
      </c>
      <c r="D2" s="15"/>
      <c r="E2" s="10"/>
      <c r="F2" s="9" t="s">
        <v>30</v>
      </c>
      <c r="G2" s="15" t="s">
        <v>128</v>
      </c>
      <c r="H2" s="15"/>
      <c r="I2" s="10"/>
      <c r="J2" s="9" t="s">
        <v>30</v>
      </c>
      <c r="K2" s="15" t="s">
        <v>129</v>
      </c>
      <c r="L2" s="15"/>
      <c r="M2" s="10"/>
      <c r="N2" s="9" t="s">
        <v>30</v>
      </c>
      <c r="O2" s="15" t="s">
        <v>130</v>
      </c>
      <c r="P2" s="15"/>
      <c r="Q2" s="10"/>
      <c r="R2" s="9" t="s">
        <v>30</v>
      </c>
      <c r="S2" s="15" t="s">
        <v>131</v>
      </c>
      <c r="T2" s="15"/>
      <c r="U2" s="10"/>
      <c r="V2" s="9" t="s">
        <v>30</v>
      </c>
      <c r="W2" s="15" t="s">
        <v>142</v>
      </c>
      <c r="X2" s="15"/>
      <c r="Y2" s="10"/>
      <c r="Z2" s="9" t="s">
        <v>30</v>
      </c>
      <c r="AA2" s="15" t="s">
        <v>134</v>
      </c>
      <c r="AB2" s="15"/>
      <c r="AC2" s="10"/>
      <c r="AD2" s="9" t="s">
        <v>30</v>
      </c>
      <c r="AE2" s="15" t="s">
        <v>135</v>
      </c>
      <c r="AF2" s="15"/>
      <c r="AG2" s="10"/>
    </row>
    <row r="3" spans="2:33" x14ac:dyDescent="0.2">
      <c r="B3" s="18" t="s">
        <v>38</v>
      </c>
      <c r="C3" s="20"/>
      <c r="D3" s="20"/>
      <c r="E3" s="30"/>
      <c r="F3" s="18" t="s">
        <v>38</v>
      </c>
      <c r="G3" s="20"/>
      <c r="H3" s="20"/>
      <c r="I3" s="30"/>
      <c r="J3" s="18" t="s">
        <v>38</v>
      </c>
      <c r="K3" s="20"/>
      <c r="L3" s="20"/>
      <c r="M3" s="30"/>
      <c r="N3" s="18" t="s">
        <v>38</v>
      </c>
      <c r="O3" s="20"/>
      <c r="P3" s="20"/>
      <c r="Q3" s="30"/>
      <c r="R3" s="18" t="s">
        <v>38</v>
      </c>
      <c r="S3" s="20"/>
      <c r="T3" s="20"/>
      <c r="U3" s="30"/>
      <c r="V3" s="18" t="s">
        <v>38</v>
      </c>
      <c r="W3" s="20"/>
      <c r="X3" s="20"/>
      <c r="Y3" s="30"/>
      <c r="Z3" s="18" t="s">
        <v>38</v>
      </c>
      <c r="AA3" s="20"/>
      <c r="AB3" s="20"/>
      <c r="AC3" s="30"/>
      <c r="AD3" s="18" t="s">
        <v>38</v>
      </c>
      <c r="AE3" s="20"/>
      <c r="AF3" s="20"/>
      <c r="AG3" s="30"/>
    </row>
    <row r="4" spans="2:33" x14ac:dyDescent="0.2">
      <c r="B4" s="7" t="s">
        <v>0</v>
      </c>
      <c r="C4" s="7" t="s">
        <v>5</v>
      </c>
      <c r="D4" s="7" t="s">
        <v>6</v>
      </c>
      <c r="E4" s="7" t="s">
        <v>7</v>
      </c>
      <c r="F4" s="7" t="s">
        <v>0</v>
      </c>
      <c r="G4" s="7" t="s">
        <v>5</v>
      </c>
      <c r="H4" s="7" t="s">
        <v>6</v>
      </c>
      <c r="I4" s="7" t="s">
        <v>7</v>
      </c>
      <c r="J4" s="7" t="s">
        <v>0</v>
      </c>
      <c r="K4" s="7" t="s">
        <v>5</v>
      </c>
      <c r="L4" s="7" t="s">
        <v>6</v>
      </c>
      <c r="M4" s="7" t="s">
        <v>7</v>
      </c>
      <c r="N4" s="7" t="s">
        <v>0</v>
      </c>
      <c r="O4" s="7" t="s">
        <v>5</v>
      </c>
      <c r="P4" s="7" t="s">
        <v>6</v>
      </c>
      <c r="Q4" s="7" t="s">
        <v>7</v>
      </c>
      <c r="R4" s="7" t="s">
        <v>0</v>
      </c>
      <c r="S4" s="7" t="s">
        <v>5</v>
      </c>
      <c r="T4" s="7" t="s">
        <v>6</v>
      </c>
      <c r="U4" s="7" t="s">
        <v>7</v>
      </c>
      <c r="V4" s="7" t="s">
        <v>0</v>
      </c>
      <c r="W4" s="7" t="s">
        <v>5</v>
      </c>
      <c r="X4" s="7" t="s">
        <v>6</v>
      </c>
      <c r="Y4" s="7" t="s">
        <v>7</v>
      </c>
      <c r="Z4" s="7" t="s">
        <v>0</v>
      </c>
      <c r="AA4" s="7" t="s">
        <v>5</v>
      </c>
      <c r="AB4" s="7" t="s">
        <v>6</v>
      </c>
      <c r="AC4" s="7" t="s">
        <v>7</v>
      </c>
      <c r="AD4" s="7" t="s">
        <v>0</v>
      </c>
      <c r="AE4" s="7" t="s">
        <v>5</v>
      </c>
      <c r="AF4" s="7" t="s">
        <v>6</v>
      </c>
      <c r="AG4" s="7" t="s">
        <v>7</v>
      </c>
    </row>
    <row r="5" spans="2:33" x14ac:dyDescent="0.2">
      <c r="B5" s="2">
        <v>46314</v>
      </c>
      <c r="C5" s="1" t="s">
        <v>8</v>
      </c>
      <c r="D5" s="1" t="s">
        <v>19</v>
      </c>
      <c r="E5" s="25">
        <v>100000</v>
      </c>
      <c r="F5" s="2">
        <v>46314</v>
      </c>
      <c r="G5" s="1" t="s">
        <v>8</v>
      </c>
      <c r="H5" s="1" t="s">
        <v>19</v>
      </c>
      <c r="I5" s="25">
        <v>100000</v>
      </c>
      <c r="J5" s="2">
        <v>46314</v>
      </c>
      <c r="K5" s="1" t="s">
        <v>8</v>
      </c>
      <c r="L5" s="1" t="s">
        <v>19</v>
      </c>
      <c r="M5" s="25">
        <v>100000</v>
      </c>
      <c r="N5" s="2">
        <v>46314</v>
      </c>
      <c r="O5" s="1" t="s">
        <v>8</v>
      </c>
      <c r="P5" s="1" t="s">
        <v>19</v>
      </c>
      <c r="Q5" s="25">
        <v>100000</v>
      </c>
      <c r="R5" s="2">
        <v>46314</v>
      </c>
      <c r="S5" s="1" t="s">
        <v>8</v>
      </c>
      <c r="T5" s="1" t="s">
        <v>19</v>
      </c>
      <c r="U5" s="25">
        <v>100000</v>
      </c>
      <c r="V5" s="2">
        <v>46314</v>
      </c>
      <c r="W5" s="1" t="s">
        <v>8</v>
      </c>
      <c r="X5" s="1" t="s">
        <v>19</v>
      </c>
      <c r="Y5" s="25">
        <v>100000</v>
      </c>
      <c r="Z5" s="2">
        <v>46314</v>
      </c>
      <c r="AA5" s="1" t="s">
        <v>8</v>
      </c>
      <c r="AB5" s="1" t="s">
        <v>19</v>
      </c>
      <c r="AC5" s="25">
        <v>100000</v>
      </c>
      <c r="AD5" s="2">
        <v>46314</v>
      </c>
      <c r="AE5" s="1" t="s">
        <v>8</v>
      </c>
      <c r="AF5" s="1" t="s">
        <v>19</v>
      </c>
      <c r="AG5" s="25">
        <v>100000</v>
      </c>
    </row>
    <row r="6" spans="2:33" x14ac:dyDescent="0.2">
      <c r="B6" s="1"/>
      <c r="C6" s="1" t="s">
        <v>9</v>
      </c>
      <c r="D6" s="1"/>
      <c r="E6" s="25">
        <v>0</v>
      </c>
      <c r="F6" s="1"/>
      <c r="G6" s="1" t="s">
        <v>9</v>
      </c>
      <c r="H6" s="1"/>
      <c r="I6" s="25">
        <v>0</v>
      </c>
      <c r="J6" s="1"/>
      <c r="K6" s="1" t="s">
        <v>9</v>
      </c>
      <c r="L6" s="1"/>
      <c r="M6" s="25">
        <v>0</v>
      </c>
      <c r="N6" s="1"/>
      <c r="O6" s="1" t="s">
        <v>9</v>
      </c>
      <c r="P6" s="1"/>
      <c r="Q6" s="25">
        <v>0</v>
      </c>
      <c r="R6" s="1"/>
      <c r="S6" s="1" t="s">
        <v>9</v>
      </c>
      <c r="T6" s="1"/>
      <c r="U6" s="25">
        <v>0</v>
      </c>
      <c r="V6" s="1"/>
      <c r="W6" s="1" t="s">
        <v>9</v>
      </c>
      <c r="X6" s="1"/>
      <c r="Y6" s="25">
        <v>0</v>
      </c>
      <c r="Z6" s="1"/>
      <c r="AA6" s="1" t="s">
        <v>9</v>
      </c>
      <c r="AB6" s="1"/>
      <c r="AC6" s="25">
        <v>0</v>
      </c>
      <c r="AD6" s="1"/>
      <c r="AE6" s="1" t="s">
        <v>9</v>
      </c>
      <c r="AF6" s="1"/>
      <c r="AG6" s="25">
        <v>0</v>
      </c>
    </row>
    <row r="7" spans="2:33" x14ac:dyDescent="0.2">
      <c r="B7" s="1"/>
      <c r="C7" s="1" t="s">
        <v>141</v>
      </c>
      <c r="D7" s="1"/>
      <c r="E7" s="25">
        <v>0</v>
      </c>
      <c r="F7" s="1"/>
      <c r="G7" s="1" t="s">
        <v>141</v>
      </c>
      <c r="H7" s="1"/>
      <c r="I7" s="25">
        <v>0</v>
      </c>
      <c r="J7" s="1"/>
      <c r="K7" s="1" t="s">
        <v>141</v>
      </c>
      <c r="L7" s="1"/>
      <c r="M7" s="25">
        <v>0</v>
      </c>
      <c r="N7" s="1"/>
      <c r="O7" s="1" t="s">
        <v>141</v>
      </c>
      <c r="P7" s="1"/>
      <c r="Q7" s="25">
        <v>0</v>
      </c>
      <c r="R7" s="1"/>
      <c r="S7" s="1" t="s">
        <v>141</v>
      </c>
      <c r="T7" s="1"/>
      <c r="U7" s="25">
        <v>0</v>
      </c>
      <c r="V7" s="1"/>
      <c r="W7" s="1" t="s">
        <v>141</v>
      </c>
      <c r="X7" s="1"/>
      <c r="Y7" s="25">
        <v>0</v>
      </c>
      <c r="Z7" s="1"/>
      <c r="AA7" s="1" t="s">
        <v>141</v>
      </c>
      <c r="AB7" s="1"/>
      <c r="AC7" s="25">
        <v>0</v>
      </c>
      <c r="AD7" s="1"/>
      <c r="AE7" s="1" t="s">
        <v>141</v>
      </c>
      <c r="AF7" s="1"/>
      <c r="AG7" s="25">
        <v>0</v>
      </c>
    </row>
    <row r="8" spans="2:33" x14ac:dyDescent="0.2">
      <c r="B8" s="1"/>
      <c r="C8" s="1"/>
      <c r="D8" s="1"/>
      <c r="E8" s="5"/>
      <c r="F8" s="1"/>
      <c r="G8" s="1"/>
      <c r="H8" s="1"/>
      <c r="I8" s="5"/>
      <c r="J8" s="1"/>
      <c r="K8" s="1"/>
      <c r="L8" s="1"/>
      <c r="M8" s="5"/>
      <c r="N8" s="1"/>
      <c r="O8" s="1"/>
      <c r="P8" s="1"/>
      <c r="Q8" s="5"/>
      <c r="R8" s="1"/>
      <c r="S8" s="1"/>
      <c r="T8" s="1"/>
      <c r="U8" s="5"/>
      <c r="V8" s="1"/>
      <c r="W8" s="1"/>
      <c r="X8" s="1"/>
      <c r="Y8" s="5"/>
      <c r="Z8" s="1"/>
      <c r="AA8" s="1"/>
      <c r="AB8" s="1"/>
      <c r="AC8" s="5"/>
      <c r="AD8" s="1"/>
      <c r="AE8" s="1"/>
      <c r="AF8" s="1"/>
      <c r="AG8" s="5"/>
    </row>
    <row r="9" spans="2:33" x14ac:dyDescent="0.2">
      <c r="B9" s="1"/>
      <c r="C9" s="1"/>
      <c r="D9" s="1"/>
      <c r="E9" s="5"/>
      <c r="F9" s="1"/>
      <c r="G9" s="1"/>
      <c r="H9" s="1"/>
      <c r="I9" s="5"/>
      <c r="J9" s="1"/>
      <c r="K9" s="1"/>
      <c r="L9" s="1"/>
      <c r="M9" s="5"/>
      <c r="N9" s="1"/>
      <c r="O9" s="1"/>
      <c r="P9" s="1"/>
      <c r="Q9" s="5"/>
      <c r="R9" s="1"/>
      <c r="S9" s="1"/>
      <c r="T9" s="1"/>
      <c r="U9" s="5"/>
      <c r="V9" s="1"/>
      <c r="W9" s="1"/>
      <c r="X9" s="1"/>
      <c r="Y9" s="5"/>
      <c r="Z9" s="1"/>
      <c r="AA9" s="1"/>
      <c r="AB9" s="1"/>
      <c r="AC9" s="5"/>
      <c r="AD9" s="1"/>
      <c r="AE9" s="1"/>
      <c r="AF9" s="1"/>
      <c r="AG9" s="5"/>
    </row>
    <row r="10" spans="2:33" x14ac:dyDescent="0.2">
      <c r="B10" s="1"/>
      <c r="C10" s="1"/>
      <c r="D10" s="1"/>
      <c r="E10" s="5"/>
      <c r="F10" s="1"/>
      <c r="G10" s="1"/>
      <c r="H10" s="1"/>
      <c r="I10" s="5"/>
      <c r="J10" s="1"/>
      <c r="K10" s="1"/>
      <c r="L10" s="1"/>
      <c r="M10" s="5"/>
      <c r="N10" s="1"/>
      <c r="O10" s="1"/>
      <c r="P10" s="1"/>
      <c r="Q10" s="5"/>
      <c r="R10" s="1"/>
      <c r="S10" s="1"/>
      <c r="T10" s="1"/>
      <c r="U10" s="5"/>
      <c r="V10" s="1"/>
      <c r="W10" s="1"/>
      <c r="X10" s="1"/>
      <c r="Y10" s="5"/>
      <c r="Z10" s="1"/>
      <c r="AA10" s="1"/>
      <c r="AB10" s="1"/>
      <c r="AC10" s="5"/>
      <c r="AD10" s="1"/>
      <c r="AE10" s="1"/>
      <c r="AF10" s="1"/>
      <c r="AG10" s="5"/>
    </row>
    <row r="11" spans="2:33" x14ac:dyDescent="0.2">
      <c r="B11" s="1"/>
      <c r="C11" s="1"/>
      <c r="D11" s="1"/>
      <c r="E11" s="5"/>
      <c r="F11" s="1"/>
      <c r="G11" s="1"/>
      <c r="H11" s="1"/>
      <c r="I11" s="5"/>
      <c r="J11" s="1"/>
      <c r="K11" s="1"/>
      <c r="L11" s="1"/>
      <c r="M11" s="5"/>
      <c r="N11" s="1"/>
      <c r="O11" s="1"/>
      <c r="P11" s="1"/>
      <c r="Q11" s="5"/>
      <c r="R11" s="1"/>
      <c r="S11" s="1"/>
      <c r="T11" s="1"/>
      <c r="U11" s="5"/>
      <c r="V11" s="1"/>
      <c r="W11" s="1"/>
      <c r="X11" s="1"/>
      <c r="Y11" s="5"/>
      <c r="Z11" s="1"/>
      <c r="AA11" s="1"/>
      <c r="AB11" s="1"/>
      <c r="AC11" s="5"/>
      <c r="AD11" s="1"/>
      <c r="AE11" s="1"/>
      <c r="AF11" s="1"/>
      <c r="AG11" s="5"/>
    </row>
    <row r="12" spans="2:33" x14ac:dyDescent="0.2">
      <c r="D12" t="s">
        <v>127</v>
      </c>
      <c r="E12" s="31">
        <f>SUM(E5:E11)</f>
        <v>100000</v>
      </c>
      <c r="H12" t="s">
        <v>127</v>
      </c>
      <c r="I12" s="31">
        <f>SUM(I5:I11)</f>
        <v>100000</v>
      </c>
      <c r="L12" t="s">
        <v>127</v>
      </c>
      <c r="M12" s="31">
        <f>SUM(M5:M11)</f>
        <v>100000</v>
      </c>
      <c r="P12" t="s">
        <v>127</v>
      </c>
      <c r="Q12" s="31">
        <f>SUM(Q5:Q11)</f>
        <v>100000</v>
      </c>
      <c r="T12" t="s">
        <v>127</v>
      </c>
      <c r="U12" s="31">
        <f>SUM(U5:U11)</f>
        <v>100000</v>
      </c>
      <c r="X12" t="s">
        <v>127</v>
      </c>
      <c r="Y12" s="31">
        <f>SUM(Y5:Y11)</f>
        <v>100000</v>
      </c>
      <c r="AB12" t="s">
        <v>127</v>
      </c>
      <c r="AC12" s="31">
        <f>SUM(AC5:AC11)</f>
        <v>100000</v>
      </c>
      <c r="AF12" t="s">
        <v>127</v>
      </c>
      <c r="AG12" s="31">
        <f>SUM(AG5:AG11)</f>
        <v>100000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7637-9746-514B-A56B-B4E4BFE9B82A}">
  <dimension ref="B2:F34"/>
  <sheetViews>
    <sheetView topLeftCell="C23" zoomScaleNormal="60" zoomScaleSheetLayoutView="100" workbookViewId="0">
      <selection activeCell="F42" sqref="F42"/>
    </sheetView>
  </sheetViews>
  <sheetFormatPr defaultRowHeight="15" x14ac:dyDescent="0.2"/>
  <cols>
    <col min="2" max="2" width="10.35546875" bestFit="1" customWidth="1"/>
    <col min="3" max="3" width="13.046875" bestFit="1" customWidth="1"/>
    <col min="4" max="4" width="12.5078125" bestFit="1" customWidth="1"/>
    <col min="5" max="5" width="11.43359375" bestFit="1" customWidth="1"/>
    <col min="6" max="6" width="12.5078125" bestFit="1" customWidth="1"/>
  </cols>
  <sheetData>
    <row r="2" spans="2:6" x14ac:dyDescent="0.2">
      <c r="B2" s="1" t="s">
        <v>0</v>
      </c>
      <c r="C2" s="1" t="s">
        <v>14</v>
      </c>
      <c r="D2" s="1" t="s">
        <v>15</v>
      </c>
      <c r="E2" s="1" t="s">
        <v>16</v>
      </c>
      <c r="F2" s="1" t="s">
        <v>17</v>
      </c>
    </row>
    <row r="3" spans="2:6" x14ac:dyDescent="0.2">
      <c r="B3" s="2">
        <v>46310</v>
      </c>
      <c r="C3" s="1" t="s">
        <v>34</v>
      </c>
      <c r="D3" s="25">
        <v>1450000</v>
      </c>
      <c r="E3" s="25">
        <v>450000</v>
      </c>
      <c r="F3" s="28">
        <f>D3+E3</f>
        <v>1900000</v>
      </c>
    </row>
    <row r="4" spans="2:6" x14ac:dyDescent="0.2">
      <c r="B4" s="1"/>
      <c r="C4" s="1"/>
      <c r="D4" s="3"/>
      <c r="E4" s="3"/>
      <c r="F4" s="28">
        <f t="shared" ref="F4:F33" si="0">D4+E4</f>
        <v>0</v>
      </c>
    </row>
    <row r="5" spans="2:6" x14ac:dyDescent="0.2">
      <c r="B5" s="1"/>
      <c r="C5" s="1"/>
      <c r="D5" s="3"/>
      <c r="E5" s="3"/>
      <c r="F5" s="28">
        <f t="shared" si="0"/>
        <v>0</v>
      </c>
    </row>
    <row r="6" spans="2:6" x14ac:dyDescent="0.2">
      <c r="B6" s="1"/>
      <c r="C6" s="1"/>
      <c r="D6" s="1"/>
      <c r="E6" s="1"/>
      <c r="F6" s="28">
        <f t="shared" si="0"/>
        <v>0</v>
      </c>
    </row>
    <row r="7" spans="2:6" x14ac:dyDescent="0.2">
      <c r="B7" s="1"/>
      <c r="C7" s="1"/>
      <c r="D7" s="1"/>
      <c r="E7" s="1"/>
      <c r="F7" s="28">
        <f t="shared" si="0"/>
        <v>0</v>
      </c>
    </row>
    <row r="8" spans="2:6" x14ac:dyDescent="0.2">
      <c r="B8" s="1"/>
      <c r="C8" s="1"/>
      <c r="D8" s="1"/>
      <c r="E8" s="1"/>
      <c r="F8" s="28">
        <f t="shared" si="0"/>
        <v>0</v>
      </c>
    </row>
    <row r="9" spans="2:6" x14ac:dyDescent="0.2">
      <c r="B9" s="1"/>
      <c r="C9" s="1"/>
      <c r="D9" s="1"/>
      <c r="E9" s="1"/>
      <c r="F9" s="28">
        <f t="shared" si="0"/>
        <v>0</v>
      </c>
    </row>
    <row r="10" spans="2:6" x14ac:dyDescent="0.2">
      <c r="B10" s="1"/>
      <c r="C10" s="1"/>
      <c r="D10" s="1"/>
      <c r="E10" s="1"/>
      <c r="F10" s="28">
        <f t="shared" si="0"/>
        <v>0</v>
      </c>
    </row>
    <row r="11" spans="2:6" x14ac:dyDescent="0.2">
      <c r="B11" s="1"/>
      <c r="C11" s="1"/>
      <c r="D11" s="1"/>
      <c r="E11" s="1"/>
      <c r="F11" s="28">
        <f t="shared" si="0"/>
        <v>0</v>
      </c>
    </row>
    <row r="12" spans="2:6" x14ac:dyDescent="0.2">
      <c r="B12" s="1"/>
      <c r="C12" s="1"/>
      <c r="D12" s="1"/>
      <c r="E12" s="1"/>
      <c r="F12" s="28">
        <f t="shared" si="0"/>
        <v>0</v>
      </c>
    </row>
    <row r="13" spans="2:6" x14ac:dyDescent="0.2">
      <c r="B13" s="1"/>
      <c r="C13" s="1"/>
      <c r="D13" s="1"/>
      <c r="E13" s="1"/>
      <c r="F13" s="28">
        <f t="shared" si="0"/>
        <v>0</v>
      </c>
    </row>
    <row r="14" spans="2:6" x14ac:dyDescent="0.2">
      <c r="B14" s="1"/>
      <c r="C14" s="1"/>
      <c r="D14" s="1"/>
      <c r="E14" s="1"/>
      <c r="F14" s="28">
        <f t="shared" si="0"/>
        <v>0</v>
      </c>
    </row>
    <row r="15" spans="2:6" x14ac:dyDescent="0.2">
      <c r="B15" s="1"/>
      <c r="C15" s="1"/>
      <c r="D15" s="1"/>
      <c r="E15" s="1"/>
      <c r="F15" s="28">
        <f t="shared" si="0"/>
        <v>0</v>
      </c>
    </row>
    <row r="16" spans="2:6" x14ac:dyDescent="0.2">
      <c r="B16" s="1"/>
      <c r="C16" s="1"/>
      <c r="D16" s="1"/>
      <c r="E16" s="1"/>
      <c r="F16" s="28">
        <f t="shared" si="0"/>
        <v>0</v>
      </c>
    </row>
    <row r="17" spans="2:6" x14ac:dyDescent="0.2">
      <c r="B17" s="1"/>
      <c r="C17" s="1"/>
      <c r="D17" s="1"/>
      <c r="E17" s="1"/>
      <c r="F17" s="28">
        <f t="shared" si="0"/>
        <v>0</v>
      </c>
    </row>
    <row r="18" spans="2:6" x14ac:dyDescent="0.2">
      <c r="B18" s="1"/>
      <c r="C18" s="1"/>
      <c r="D18" s="1"/>
      <c r="E18" s="1"/>
      <c r="F18" s="28">
        <f t="shared" si="0"/>
        <v>0</v>
      </c>
    </row>
    <row r="19" spans="2:6" x14ac:dyDescent="0.2">
      <c r="B19" s="1"/>
      <c r="C19" s="1"/>
      <c r="D19" s="1"/>
      <c r="E19" s="1"/>
      <c r="F19" s="28">
        <f t="shared" si="0"/>
        <v>0</v>
      </c>
    </row>
    <row r="20" spans="2:6" x14ac:dyDescent="0.2">
      <c r="B20" s="1"/>
      <c r="C20" s="1"/>
      <c r="D20" s="1"/>
      <c r="E20" s="1"/>
      <c r="F20" s="28">
        <f t="shared" si="0"/>
        <v>0</v>
      </c>
    </row>
    <row r="21" spans="2:6" x14ac:dyDescent="0.2">
      <c r="B21" s="1"/>
      <c r="C21" s="1"/>
      <c r="D21" s="1"/>
      <c r="E21" s="1"/>
      <c r="F21" s="28">
        <f t="shared" si="0"/>
        <v>0</v>
      </c>
    </row>
    <row r="22" spans="2:6" x14ac:dyDescent="0.2">
      <c r="B22" s="1"/>
      <c r="C22" s="1"/>
      <c r="D22" s="1"/>
      <c r="E22" s="1"/>
      <c r="F22" s="28">
        <f t="shared" si="0"/>
        <v>0</v>
      </c>
    </row>
    <row r="23" spans="2:6" x14ac:dyDescent="0.2">
      <c r="B23" s="1"/>
      <c r="C23" s="1"/>
      <c r="D23" s="1"/>
      <c r="E23" s="1"/>
      <c r="F23" s="28">
        <f t="shared" si="0"/>
        <v>0</v>
      </c>
    </row>
    <row r="24" spans="2:6" x14ac:dyDescent="0.2">
      <c r="B24" s="1"/>
      <c r="C24" s="1"/>
      <c r="D24" s="1"/>
      <c r="E24" s="1"/>
      <c r="F24" s="28">
        <f t="shared" si="0"/>
        <v>0</v>
      </c>
    </row>
    <row r="25" spans="2:6" x14ac:dyDescent="0.2">
      <c r="B25" s="1"/>
      <c r="C25" s="1"/>
      <c r="D25" s="1"/>
      <c r="E25" s="1"/>
      <c r="F25" s="28">
        <f t="shared" si="0"/>
        <v>0</v>
      </c>
    </row>
    <row r="26" spans="2:6" x14ac:dyDescent="0.2">
      <c r="B26" s="1"/>
      <c r="C26" s="1"/>
      <c r="D26" s="1"/>
      <c r="E26" s="1"/>
      <c r="F26" s="28">
        <f t="shared" si="0"/>
        <v>0</v>
      </c>
    </row>
    <row r="27" spans="2:6" x14ac:dyDescent="0.2">
      <c r="B27" s="1"/>
      <c r="C27" s="1"/>
      <c r="D27" s="1"/>
      <c r="E27" s="1"/>
      <c r="F27" s="28">
        <f t="shared" si="0"/>
        <v>0</v>
      </c>
    </row>
    <row r="28" spans="2:6" x14ac:dyDescent="0.2">
      <c r="B28" s="1"/>
      <c r="C28" s="1"/>
      <c r="D28" s="1"/>
      <c r="E28" s="1"/>
      <c r="F28" s="28">
        <f t="shared" si="0"/>
        <v>0</v>
      </c>
    </row>
    <row r="29" spans="2:6" x14ac:dyDescent="0.2">
      <c r="B29" s="1"/>
      <c r="C29" s="1"/>
      <c r="D29" s="1"/>
      <c r="E29" s="1"/>
      <c r="F29" s="28">
        <f t="shared" si="0"/>
        <v>0</v>
      </c>
    </row>
    <row r="30" spans="2:6" x14ac:dyDescent="0.2">
      <c r="B30" s="1"/>
      <c r="C30" s="1"/>
      <c r="D30" s="1"/>
      <c r="E30" s="1"/>
      <c r="F30" s="28">
        <f t="shared" si="0"/>
        <v>0</v>
      </c>
    </row>
    <row r="31" spans="2:6" x14ac:dyDescent="0.2">
      <c r="B31" s="1"/>
      <c r="C31" s="1"/>
      <c r="D31" s="1"/>
      <c r="E31" s="1"/>
      <c r="F31" s="28">
        <f t="shared" si="0"/>
        <v>0</v>
      </c>
    </row>
    <row r="32" spans="2:6" x14ac:dyDescent="0.2">
      <c r="B32" s="1"/>
      <c r="C32" s="1"/>
      <c r="D32" s="1"/>
      <c r="E32" s="1"/>
      <c r="F32" s="28">
        <f t="shared" si="0"/>
        <v>0</v>
      </c>
    </row>
    <row r="33" spans="2:6" x14ac:dyDescent="0.2">
      <c r="B33" s="1"/>
      <c r="C33" s="1"/>
      <c r="D33" s="1"/>
      <c r="E33" s="1"/>
      <c r="F33" s="28">
        <f t="shared" si="0"/>
        <v>0</v>
      </c>
    </row>
    <row r="34" spans="2:6" x14ac:dyDescent="0.2">
      <c r="E34" t="s">
        <v>127</v>
      </c>
      <c r="F34" s="33">
        <f>SUM(F3:F33)</f>
        <v>1900000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2EFF-F5F5-D349-90A4-6FC55EB7A520}">
  <dimension ref="B2:Q14"/>
  <sheetViews>
    <sheetView zoomScaleNormal="60" zoomScaleSheetLayoutView="100" workbookViewId="0">
      <selection activeCell="D32" sqref="D32"/>
    </sheetView>
  </sheetViews>
  <sheetFormatPr defaultRowHeight="15" x14ac:dyDescent="0.2"/>
  <cols>
    <col min="2" max="2" width="20.17578125" bestFit="1" customWidth="1"/>
    <col min="3" max="3" width="11.703125" bestFit="1" customWidth="1"/>
    <col min="4" max="4" width="20.17578125" bestFit="1" customWidth="1"/>
    <col min="5" max="5" width="11.703125" bestFit="1" customWidth="1"/>
    <col min="6" max="6" width="20.17578125" bestFit="1" customWidth="1"/>
    <col min="7" max="7" width="11.703125" bestFit="1" customWidth="1"/>
    <col min="8" max="8" width="20.17578125" bestFit="1" customWidth="1"/>
    <col min="9" max="9" width="11.703125" bestFit="1" customWidth="1"/>
    <col min="10" max="10" width="20.17578125" bestFit="1" customWidth="1"/>
    <col min="11" max="11" width="11.703125" bestFit="1" customWidth="1"/>
    <col min="12" max="12" width="20.17578125" bestFit="1" customWidth="1"/>
    <col min="13" max="13" width="11.703125" bestFit="1" customWidth="1"/>
    <col min="14" max="14" width="20.17578125" bestFit="1" customWidth="1"/>
    <col min="15" max="15" width="11.703125" bestFit="1" customWidth="1"/>
    <col min="16" max="16" width="20.17578125" bestFit="1" customWidth="1"/>
    <col min="17" max="17" width="11.703125" bestFit="1" customWidth="1"/>
  </cols>
  <sheetData>
    <row r="2" spans="2:17" x14ac:dyDescent="0.2">
      <c r="B2" s="1" t="s">
        <v>0</v>
      </c>
      <c r="C2" s="37">
        <v>46314</v>
      </c>
      <c r="D2" s="1" t="s">
        <v>0</v>
      </c>
      <c r="E2" s="37">
        <v>46314</v>
      </c>
      <c r="F2" s="1" t="s">
        <v>0</v>
      </c>
      <c r="G2" s="37">
        <v>46314</v>
      </c>
      <c r="H2" s="1" t="s">
        <v>0</v>
      </c>
      <c r="I2" s="37">
        <v>46314</v>
      </c>
      <c r="J2" s="1" t="s">
        <v>0</v>
      </c>
      <c r="K2" s="37">
        <v>46314</v>
      </c>
      <c r="L2" s="1" t="s">
        <v>0</v>
      </c>
      <c r="M2" s="37">
        <v>46314</v>
      </c>
      <c r="N2" s="1" t="s">
        <v>0</v>
      </c>
      <c r="O2" s="37">
        <v>46314</v>
      </c>
      <c r="P2" s="1" t="s">
        <v>0</v>
      </c>
      <c r="Q2" s="37">
        <v>46314</v>
      </c>
    </row>
    <row r="3" spans="2:17" x14ac:dyDescent="0.2">
      <c r="B3" s="1" t="s">
        <v>30</v>
      </c>
      <c r="C3" s="1" t="s">
        <v>33</v>
      </c>
      <c r="D3" s="1" t="s">
        <v>30</v>
      </c>
      <c r="E3" s="1" t="s">
        <v>128</v>
      </c>
      <c r="F3" s="1" t="s">
        <v>30</v>
      </c>
      <c r="G3" s="1" t="s">
        <v>129</v>
      </c>
      <c r="H3" s="1" t="s">
        <v>30</v>
      </c>
      <c r="I3" s="1" t="s">
        <v>130</v>
      </c>
      <c r="J3" s="1" t="s">
        <v>30</v>
      </c>
      <c r="K3" s="1" t="s">
        <v>131</v>
      </c>
      <c r="L3" s="1" t="s">
        <v>30</v>
      </c>
      <c r="M3" s="1" t="s">
        <v>132</v>
      </c>
      <c r="N3" s="1" t="s">
        <v>30</v>
      </c>
      <c r="O3" s="1" t="s">
        <v>134</v>
      </c>
      <c r="P3" s="1" t="s">
        <v>30</v>
      </c>
      <c r="Q3" s="1" t="s">
        <v>135</v>
      </c>
    </row>
    <row r="4" spans="2:17" x14ac:dyDescent="0.2">
      <c r="B4" s="1" t="s">
        <v>38</v>
      </c>
      <c r="C4" s="1" t="s">
        <v>34</v>
      </c>
      <c r="D4" s="1" t="s">
        <v>38</v>
      </c>
      <c r="E4" s="1" t="s">
        <v>136</v>
      </c>
      <c r="F4" s="1" t="s">
        <v>38</v>
      </c>
      <c r="G4" s="1" t="s">
        <v>137</v>
      </c>
      <c r="H4" s="1" t="s">
        <v>38</v>
      </c>
      <c r="I4" s="1" t="s">
        <v>138</v>
      </c>
      <c r="J4" s="1" t="s">
        <v>38</v>
      </c>
      <c r="K4" s="1" t="s">
        <v>139</v>
      </c>
      <c r="L4" s="1" t="s">
        <v>38</v>
      </c>
      <c r="M4" s="1" t="s">
        <v>123</v>
      </c>
      <c r="N4" s="1" t="s">
        <v>38</v>
      </c>
      <c r="O4" s="1"/>
      <c r="P4" s="1" t="s">
        <v>38</v>
      </c>
      <c r="Q4" s="1"/>
    </row>
    <row r="5" spans="2:17" x14ac:dyDescent="0.2">
      <c r="B5" s="11"/>
      <c r="C5" s="12"/>
      <c r="D5" s="11"/>
      <c r="E5" s="12"/>
      <c r="F5" s="11"/>
      <c r="G5" s="12"/>
      <c r="H5" s="11"/>
      <c r="I5" s="12"/>
      <c r="J5" s="11"/>
      <c r="K5" s="12"/>
      <c r="L5" s="11"/>
      <c r="M5" s="12"/>
      <c r="N5" s="11"/>
      <c r="O5" s="12"/>
      <c r="P5" s="11"/>
      <c r="Q5" s="12"/>
    </row>
    <row r="6" spans="2:17" x14ac:dyDescent="0.2">
      <c r="B6" s="8" t="s">
        <v>39</v>
      </c>
      <c r="C6" s="32">
        <v>0</v>
      </c>
      <c r="D6" s="8" t="s">
        <v>39</v>
      </c>
      <c r="E6" s="32">
        <v>0</v>
      </c>
      <c r="F6" s="8" t="s">
        <v>39</v>
      </c>
      <c r="G6" s="32">
        <v>0</v>
      </c>
      <c r="H6" s="8" t="s">
        <v>39</v>
      </c>
      <c r="I6" s="32">
        <v>0</v>
      </c>
      <c r="J6" s="8" t="s">
        <v>39</v>
      </c>
      <c r="K6" s="32">
        <v>0</v>
      </c>
      <c r="L6" s="8" t="s">
        <v>39</v>
      </c>
      <c r="M6" s="32">
        <v>0</v>
      </c>
      <c r="N6" s="8" t="s">
        <v>39</v>
      </c>
      <c r="O6" s="32">
        <v>0</v>
      </c>
      <c r="P6" s="8" t="s">
        <v>39</v>
      </c>
      <c r="Q6" s="32">
        <v>0</v>
      </c>
    </row>
    <row r="7" spans="2:17" x14ac:dyDescent="0.2">
      <c r="B7" s="8" t="s">
        <v>145</v>
      </c>
      <c r="C7" s="32">
        <v>0</v>
      </c>
      <c r="D7" s="8" t="s">
        <v>40</v>
      </c>
      <c r="E7" s="32">
        <v>0</v>
      </c>
      <c r="F7" s="8" t="s">
        <v>40</v>
      </c>
      <c r="G7" s="32">
        <v>0</v>
      </c>
      <c r="H7" s="8" t="s">
        <v>40</v>
      </c>
      <c r="I7" s="32">
        <v>0</v>
      </c>
      <c r="J7" s="8" t="s">
        <v>40</v>
      </c>
      <c r="K7" s="32">
        <v>0</v>
      </c>
      <c r="L7" s="8" t="s">
        <v>40</v>
      </c>
      <c r="M7" s="32">
        <v>0</v>
      </c>
      <c r="N7" s="8" t="s">
        <v>40</v>
      </c>
      <c r="O7" s="32">
        <v>0</v>
      </c>
      <c r="P7" s="8" t="s">
        <v>40</v>
      </c>
      <c r="Q7" s="32">
        <v>0</v>
      </c>
    </row>
    <row r="8" spans="2:17" x14ac:dyDescent="0.2">
      <c r="B8" s="8" t="s">
        <v>41</v>
      </c>
      <c r="C8" s="32">
        <v>1500000</v>
      </c>
      <c r="D8" s="8" t="s">
        <v>41</v>
      </c>
      <c r="E8" s="32">
        <v>1500000</v>
      </c>
      <c r="F8" s="8" t="s">
        <v>41</v>
      </c>
      <c r="G8" s="32">
        <v>1500000</v>
      </c>
      <c r="H8" s="8" t="s">
        <v>41</v>
      </c>
      <c r="I8" s="32">
        <v>1500000</v>
      </c>
      <c r="J8" s="8" t="s">
        <v>41</v>
      </c>
      <c r="K8" s="32">
        <v>1500000</v>
      </c>
      <c r="L8" s="8" t="s">
        <v>41</v>
      </c>
      <c r="M8" s="32">
        <v>1500000</v>
      </c>
      <c r="N8" s="8" t="s">
        <v>41</v>
      </c>
      <c r="O8" s="32">
        <v>1500000</v>
      </c>
      <c r="P8" s="8" t="s">
        <v>41</v>
      </c>
      <c r="Q8" s="32">
        <v>1500000</v>
      </c>
    </row>
    <row r="9" spans="2:17" x14ac:dyDescent="0.2">
      <c r="B9" s="8" t="s">
        <v>42</v>
      </c>
      <c r="C9" s="32">
        <v>50000</v>
      </c>
      <c r="D9" s="8" t="s">
        <v>42</v>
      </c>
      <c r="E9" s="32">
        <v>50000</v>
      </c>
      <c r="F9" s="8" t="s">
        <v>42</v>
      </c>
      <c r="G9" s="32">
        <v>50000</v>
      </c>
      <c r="H9" s="8" t="s">
        <v>42</v>
      </c>
      <c r="I9" s="32">
        <v>50000</v>
      </c>
      <c r="J9" s="8" t="s">
        <v>42</v>
      </c>
      <c r="K9" s="32">
        <v>50000</v>
      </c>
      <c r="L9" s="8" t="s">
        <v>42</v>
      </c>
      <c r="M9" s="32">
        <v>50000</v>
      </c>
      <c r="N9" s="8" t="s">
        <v>42</v>
      </c>
      <c r="O9" s="32">
        <v>50000</v>
      </c>
      <c r="P9" s="8" t="s">
        <v>42</v>
      </c>
      <c r="Q9" s="32">
        <v>50000</v>
      </c>
    </row>
    <row r="10" spans="2:17" x14ac:dyDescent="0.2">
      <c r="B10" s="8" t="s">
        <v>15</v>
      </c>
      <c r="C10" s="32">
        <v>1000000</v>
      </c>
      <c r="D10" s="8" t="s">
        <v>15</v>
      </c>
      <c r="E10" s="32">
        <v>1000000</v>
      </c>
      <c r="F10" s="8" t="s">
        <v>15</v>
      </c>
      <c r="G10" s="32">
        <v>1000000</v>
      </c>
      <c r="H10" s="8" t="s">
        <v>15</v>
      </c>
      <c r="I10" s="32">
        <v>1000000</v>
      </c>
      <c r="J10" s="8" t="s">
        <v>15</v>
      </c>
      <c r="K10" s="32">
        <v>1000000</v>
      </c>
      <c r="L10" s="8" t="s">
        <v>15</v>
      </c>
      <c r="M10" s="32">
        <v>1000000</v>
      </c>
      <c r="N10" s="8" t="s">
        <v>15</v>
      </c>
      <c r="O10" s="32">
        <v>1000000</v>
      </c>
      <c r="P10" s="8" t="s">
        <v>15</v>
      </c>
      <c r="Q10" s="32">
        <v>1000000</v>
      </c>
    </row>
    <row r="11" spans="2:17" x14ac:dyDescent="0.2">
      <c r="B11" s="8" t="s">
        <v>16</v>
      </c>
      <c r="C11" s="32">
        <v>450000</v>
      </c>
      <c r="D11" s="8" t="s">
        <v>16</v>
      </c>
      <c r="E11" s="32">
        <v>450000</v>
      </c>
      <c r="F11" s="8" t="s">
        <v>16</v>
      </c>
      <c r="G11" s="32">
        <v>450000</v>
      </c>
      <c r="H11" s="8" t="s">
        <v>16</v>
      </c>
      <c r="I11" s="32">
        <v>450000</v>
      </c>
      <c r="J11" s="8" t="s">
        <v>16</v>
      </c>
      <c r="K11" s="32">
        <v>450000</v>
      </c>
      <c r="L11" s="8" t="s">
        <v>16</v>
      </c>
      <c r="M11" s="32">
        <v>450000</v>
      </c>
      <c r="N11" s="8" t="s">
        <v>16</v>
      </c>
      <c r="O11" s="32">
        <v>450000</v>
      </c>
      <c r="P11" s="8" t="s">
        <v>16</v>
      </c>
      <c r="Q11" s="32">
        <v>450000</v>
      </c>
    </row>
    <row r="12" spans="2:17" x14ac:dyDescent="0.2">
      <c r="B12" s="1" t="s">
        <v>43</v>
      </c>
      <c r="C12" s="32">
        <v>0</v>
      </c>
      <c r="D12" s="1" t="s">
        <v>43</v>
      </c>
      <c r="E12" s="32">
        <v>0</v>
      </c>
      <c r="F12" s="1" t="s">
        <v>43</v>
      </c>
      <c r="G12" s="32">
        <v>0</v>
      </c>
      <c r="H12" s="1" t="s">
        <v>43</v>
      </c>
      <c r="I12" s="32">
        <v>0</v>
      </c>
      <c r="J12" s="1" t="s">
        <v>43</v>
      </c>
      <c r="K12" s="32">
        <v>0</v>
      </c>
      <c r="L12" s="1" t="s">
        <v>43</v>
      </c>
      <c r="M12" s="32">
        <v>0</v>
      </c>
      <c r="N12" s="1" t="s">
        <v>43</v>
      </c>
      <c r="O12" s="32">
        <v>0</v>
      </c>
      <c r="P12" s="1" t="s">
        <v>43</v>
      </c>
      <c r="Q12" s="32">
        <v>0</v>
      </c>
    </row>
    <row r="13" spans="2:17" x14ac:dyDescent="0.2">
      <c r="B13" s="1" t="s">
        <v>44</v>
      </c>
      <c r="C13" s="32">
        <v>0</v>
      </c>
      <c r="D13" s="1" t="s">
        <v>44</v>
      </c>
      <c r="E13" s="32">
        <v>0</v>
      </c>
      <c r="F13" s="1" t="s">
        <v>44</v>
      </c>
      <c r="G13" s="32">
        <v>0</v>
      </c>
      <c r="H13" s="1" t="s">
        <v>44</v>
      </c>
      <c r="I13" s="32">
        <v>0</v>
      </c>
      <c r="J13" s="1" t="s">
        <v>44</v>
      </c>
      <c r="K13" s="32">
        <v>0</v>
      </c>
      <c r="L13" s="1" t="s">
        <v>44</v>
      </c>
      <c r="M13" s="32">
        <v>0</v>
      </c>
      <c r="N13" s="1" t="s">
        <v>44</v>
      </c>
      <c r="O13" s="32">
        <v>0</v>
      </c>
      <c r="P13" s="1" t="s">
        <v>44</v>
      </c>
      <c r="Q13" s="32">
        <v>0</v>
      </c>
    </row>
    <row r="14" spans="2:17" x14ac:dyDescent="0.2">
      <c r="B14" s="1" t="s">
        <v>45</v>
      </c>
      <c r="C14" s="32">
        <v>0</v>
      </c>
      <c r="D14" s="1" t="s">
        <v>45</v>
      </c>
      <c r="E14" s="32">
        <v>0</v>
      </c>
      <c r="F14" s="1" t="s">
        <v>45</v>
      </c>
      <c r="G14" s="32">
        <v>0</v>
      </c>
      <c r="H14" s="1" t="s">
        <v>45</v>
      </c>
      <c r="I14" s="32">
        <v>0</v>
      </c>
      <c r="J14" s="1" t="s">
        <v>45</v>
      </c>
      <c r="K14" s="32">
        <v>0</v>
      </c>
      <c r="L14" s="1" t="s">
        <v>45</v>
      </c>
      <c r="M14" s="32">
        <v>0</v>
      </c>
      <c r="N14" s="1" t="s">
        <v>45</v>
      </c>
      <c r="O14" s="32">
        <v>0</v>
      </c>
      <c r="P14" s="1" t="s">
        <v>45</v>
      </c>
      <c r="Q14" s="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8</vt:i4>
      </vt:variant>
    </vt:vector>
  </HeadingPairs>
  <TitlesOfParts>
    <vt:vector size="8" baseType="lpstr">
      <vt:lpstr>Orderan sales</vt:lpstr>
      <vt:lpstr>Stok</vt:lpstr>
      <vt:lpstr>Belanja Barang</vt:lpstr>
      <vt:lpstr>Pengiriman</vt:lpstr>
      <vt:lpstr>Rekap Harian</vt:lpstr>
      <vt:lpstr>Oprasional</vt:lpstr>
      <vt:lpstr>Pemasukan</vt:lpstr>
      <vt:lpstr>Laporan Penjualan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mohmaftukhin989@gmail.com</dc:creator>
  <dcterms:created xsi:type="dcterms:W3CDTF">2026-10-18T17:34:42Z</dcterms:created>
</cp:coreProperties>
</file>